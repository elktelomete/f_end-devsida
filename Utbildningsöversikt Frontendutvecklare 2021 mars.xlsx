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ademediase.sharepoint.com/sites/ecu/syd/vxoutb/YH 701004 Frontend utvecklare/FEU21/Planering/Utbildningsöversikt/"/>
    </mc:Choice>
  </mc:AlternateContent>
  <xr:revisionPtr revIDLastSave="184" documentId="8_{B585119A-5CE7-48D4-B919-ADDC7C388BA3}" xr6:coauthVersionLast="46" xr6:coauthVersionMax="46" xr10:uidLastSave="{A821F1D5-7B6B-4650-B82A-84B8D690D361}"/>
  <bookViews>
    <workbookView xWindow="-30828" yWindow="-108" windowWidth="30936" windowHeight="16896" activeTab="1" xr2:uid="{00000000-000D-0000-FFFF-FFFF00000000}"/>
  </bookViews>
  <sheets>
    <sheet name="Instruktion" sheetId="2" r:id="rId1"/>
    <sheet name="Utbildningsöversikt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50" i="1" s="1"/>
  <c r="C40" i="1"/>
  <c r="C31" i="1"/>
  <c r="C21" i="1"/>
  <c r="D51" i="1" l="1"/>
  <c r="D50" i="1"/>
  <c r="C52" i="1"/>
  <c r="D53" i="1"/>
  <c r="AE27" i="1"/>
  <c r="D52" i="1" s="1"/>
  <c r="AE28" i="1"/>
  <c r="AE29" i="1"/>
  <c r="AE8" i="1"/>
  <c r="AE7" i="1"/>
  <c r="AE37" i="1"/>
  <c r="AE38" i="1"/>
  <c r="AE16" i="1"/>
  <c r="AE17" i="1"/>
  <c r="AE18" i="1"/>
  <c r="AE19" i="1"/>
  <c r="C62" i="2" l="1"/>
  <c r="AD48" i="2"/>
  <c r="AD47" i="2"/>
  <c r="AD46" i="2"/>
  <c r="AD45" i="2"/>
  <c r="AD44" i="2"/>
  <c r="AD43" i="2"/>
  <c r="C37" i="2"/>
  <c r="C61" i="2" s="1"/>
  <c r="AD36" i="2"/>
  <c r="AD35" i="2"/>
  <c r="AD34" i="2"/>
  <c r="AD33" i="2"/>
  <c r="AD32" i="2"/>
  <c r="AD31" i="2"/>
  <c r="C25" i="2"/>
  <c r="C60" i="2" s="1"/>
  <c r="AD24" i="2"/>
  <c r="AD23" i="2"/>
  <c r="AD22" i="2"/>
  <c r="AD21" i="2"/>
  <c r="AD20" i="2"/>
  <c r="AD19" i="2"/>
  <c r="C13" i="2"/>
  <c r="C59" i="2" s="1"/>
  <c r="AD12" i="2"/>
  <c r="AD11" i="2"/>
  <c r="AD10" i="2"/>
  <c r="AD9" i="2"/>
  <c r="AD8" i="2"/>
  <c r="AD7" i="2"/>
  <c r="D62" i="2" l="1"/>
  <c r="D60" i="2"/>
  <c r="D61" i="2"/>
  <c r="D59" i="2"/>
  <c r="C53" i="1"/>
  <c r="D64" i="2" l="1"/>
  <c r="D66" i="2" s="1"/>
  <c r="D55" i="1" l="1"/>
  <c r="D57" i="1" s="1"/>
  <c r="C51" i="1" l="1"/>
  <c r="C54" i="1" s="1"/>
</calcChain>
</file>

<file path=xl/sharedStrings.xml><?xml version="1.0" encoding="utf-8"?>
<sst xmlns="http://schemas.openxmlformats.org/spreadsheetml/2006/main" count="150" uniqueCount="81">
  <si>
    <t xml:space="preserve">Utbildningens totala antal timmar: </t>
  </si>
  <si>
    <t>Utbildningens namn:</t>
  </si>
  <si>
    <t>Utbildare:</t>
  </si>
  <si>
    <t>HT19, termin 1</t>
  </si>
  <si>
    <t>Datum</t>
  </si>
  <si>
    <t>Antal poäng</t>
  </si>
  <si>
    <t>Antal veckor</t>
  </si>
  <si>
    <t>Skriv in terminstiderna här</t>
  </si>
  <si>
    <t>Summa timmar per kurs</t>
  </si>
  <si>
    <t>Kurs 1</t>
  </si>
  <si>
    <t>Kurs 2</t>
  </si>
  <si>
    <t>Kurs 3</t>
  </si>
  <si>
    <t>Kurs 4</t>
  </si>
  <si>
    <t>Kurs 5</t>
  </si>
  <si>
    <t>Kurs 6</t>
  </si>
  <si>
    <t>Summering termin 1</t>
  </si>
  <si>
    <t>VT20, termin 2</t>
  </si>
  <si>
    <t>Summering termin 2</t>
  </si>
  <si>
    <t>HT20, termin 3</t>
  </si>
  <si>
    <t>Summering termin 3</t>
  </si>
  <si>
    <t>VT21, termin 4</t>
  </si>
  <si>
    <t>Summering termin 4</t>
  </si>
  <si>
    <t>Utbildningsledare</t>
  </si>
  <si>
    <t>Namn</t>
  </si>
  <si>
    <t>E-post</t>
  </si>
  <si>
    <t>Telefon</t>
  </si>
  <si>
    <t>Terminstider CSN</t>
  </si>
  <si>
    <t>Antal timmar genomförda</t>
  </si>
  <si>
    <t>Termin 1</t>
  </si>
  <si>
    <t>Termin 2</t>
  </si>
  <si>
    <t>Termin 3</t>
  </si>
  <si>
    <t>Termin 4</t>
  </si>
  <si>
    <t>Summa lärarledda timmar utlagda</t>
  </si>
  <si>
    <t xml:space="preserve">Summa lärarleddda timmar kvar </t>
  </si>
  <si>
    <t>Utbildningsöversikt Frontendutvecklare start 21</t>
  </si>
  <si>
    <t>Senast granskad 2021-02-04</t>
  </si>
  <si>
    <t>Utbildningens namn: Frontendutvecklare</t>
  </si>
  <si>
    <t>Utbildare: EC Utbildning</t>
  </si>
  <si>
    <t>VT21, termin 1</t>
  </si>
  <si>
    <t>01 HTML5 och CSS3 med SEO</t>
  </si>
  <si>
    <t>2021-03-15 till 2021-05-09</t>
  </si>
  <si>
    <t xml:space="preserve">02 JavaScript </t>
  </si>
  <si>
    <t>2021-05-10 till 2021-07-04</t>
  </si>
  <si>
    <t>HT21, termin 2</t>
  </si>
  <si>
    <t xml:space="preserve">03 Kommunikation och agila projektmetoder </t>
  </si>
  <si>
    <t>2021-09-06 till 2021-10-03</t>
  </si>
  <si>
    <t>04 UX-design och grafisk bildredigering</t>
  </si>
  <si>
    <t>2021-10-04 till 2021-10-31</t>
  </si>
  <si>
    <t>05 Avancerad JavaScript med Angular</t>
  </si>
  <si>
    <t>2021-11-01 till 2021-12-12</t>
  </si>
  <si>
    <t>06 Avancerad JavaScript med React</t>
  </si>
  <si>
    <t>2021-12-13 till 2022-01-23</t>
  </si>
  <si>
    <t>VT21, termin 3</t>
  </si>
  <si>
    <t>07 LIA 1, Webbutveckling</t>
  </si>
  <si>
    <t>2022-01-24 till 2022-04-17</t>
  </si>
  <si>
    <t>08 Api:er mot Backend</t>
  </si>
  <si>
    <t>2022-04-17 till 2022-06-26</t>
  </si>
  <si>
    <t xml:space="preserve">09 Projekt - agil webbutveckling i JavaScript </t>
  </si>
  <si>
    <t>HT22, termin 4</t>
  </si>
  <si>
    <t>10 Examensarbete</t>
  </si>
  <si>
    <t>2022-09-12 till 2022-11-06</t>
  </si>
  <si>
    <t>11 LIA 2, Webbutveckling</t>
  </si>
  <si>
    <t>2022-11-07 till 2023-02-12</t>
  </si>
  <si>
    <t>Utbildningsadimin/studerandeansvarig</t>
  </si>
  <si>
    <t>LIA-ansvarig (Lärande i Arbete)</t>
  </si>
  <si>
    <t>Stefan Gustavsson</t>
  </si>
  <si>
    <t>Stina Sellin</t>
  </si>
  <si>
    <t>Cristine Wiberg</t>
  </si>
  <si>
    <t>stefan.gustavsson@ecutbildning.se</t>
  </si>
  <si>
    <t>stina.sellin@ecutbildning.se</t>
  </si>
  <si>
    <t>christine.wiberg@ecutbildning.se</t>
  </si>
  <si>
    <t>070-601 95 73</t>
  </si>
  <si>
    <t>073-808 39 22</t>
  </si>
  <si>
    <t>2021-03-15 till 2021-07-04</t>
  </si>
  <si>
    <t>2021-09-06 till 2022-06-26</t>
  </si>
  <si>
    <t>Termin 2 och 3 samma rapporteras till CSN som en period!</t>
  </si>
  <si>
    <t>2022-09-12 till 2023-02-12</t>
  </si>
  <si>
    <t xml:space="preserve">Summa fördelade lärarledda timmar </t>
  </si>
  <si>
    <t>Summa lärarleddda timmar kvar att fördela</t>
  </si>
  <si>
    <t>Lärare</t>
  </si>
  <si>
    <t>Codic/Sebastian Karlsson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</si>
</sst>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20"/>
      <name val="Arial"/>
      <family val="2"/>
    </font>
    <font>
      <sz val="11"/>
      <color rgb="FFFF0000"/>
      <name val="Calibri"/>
      <family val="2"/>
      <scheme val="minor"/>
    </font>
    <font>
      <b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ck">
        <color rgb="FF518CA2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" fillId="2" borderId="1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</cellStyleXfs>
  <cellXfs count="84">
    <xf numFmtId="0" fontId="0" fillId="0" borderId="0" xfId="0"/>
    <xf numFmtId="0" fontId="3" fillId="0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0" fillId="0" borderId="0" xfId="0" applyFill="1"/>
    <xf numFmtId="0" fontId="3" fillId="0" borderId="0" xfId="0" applyFont="1" applyFill="1" applyBorder="1" applyAlignment="1">
      <alignment horizontal="left"/>
    </xf>
    <xf numFmtId="3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3" fontId="3" fillId="5" borderId="2" xfId="0" applyNumberFormat="1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center"/>
    </xf>
    <xf numFmtId="0" fontId="0" fillId="7" borderId="2" xfId="0" applyFill="1" applyBorder="1"/>
    <xf numFmtId="0" fontId="0" fillId="0" borderId="0" xfId="0" applyBorder="1"/>
    <xf numFmtId="0" fontId="0" fillId="0" borderId="8" xfId="0" applyBorder="1"/>
    <xf numFmtId="0" fontId="0" fillId="8" borderId="8" xfId="0" applyFill="1" applyBorder="1"/>
    <xf numFmtId="0" fontId="6" fillId="3" borderId="2" xfId="0" applyFont="1" applyFill="1" applyBorder="1"/>
    <xf numFmtId="0" fontId="2" fillId="0" borderId="0" xfId="1" applyFont="1" applyFill="1" applyBorder="1"/>
    <xf numFmtId="0" fontId="0" fillId="0" borderId="0" xfId="0" applyFill="1" applyBorder="1"/>
    <xf numFmtId="0" fontId="6" fillId="0" borderId="0" xfId="0" applyFont="1" applyFill="1" applyBorder="1"/>
    <xf numFmtId="0" fontId="0" fillId="0" borderId="2" xfId="0" applyBorder="1"/>
    <xf numFmtId="0" fontId="9" fillId="7" borderId="2" xfId="0" applyFont="1" applyFill="1" applyBorder="1"/>
    <xf numFmtId="0" fontId="7" fillId="0" borderId="0" xfId="0" applyFont="1" applyFill="1"/>
    <xf numFmtId="0" fontId="8" fillId="7" borderId="2" xfId="1" applyFont="1" applyFill="1" applyBorder="1"/>
    <xf numFmtId="0" fontId="8" fillId="7" borderId="6" xfId="1" applyFont="1" applyFill="1" applyBorder="1"/>
    <xf numFmtId="0" fontId="3" fillId="3" borderId="2" xfId="0" applyFont="1" applyFill="1" applyBorder="1" applyAlignment="1">
      <alignment horizontal="left"/>
    </xf>
    <xf numFmtId="0" fontId="0" fillId="6" borderId="2" xfId="0" applyFill="1" applyBorder="1"/>
    <xf numFmtId="0" fontId="2" fillId="7" borderId="2" xfId="1" applyFont="1" applyFill="1" applyBorder="1"/>
    <xf numFmtId="0" fontId="8" fillId="7" borderId="5" xfId="1" applyFont="1" applyFill="1" applyBorder="1"/>
    <xf numFmtId="0" fontId="3" fillId="7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/>
    </xf>
    <xf numFmtId="0" fontId="8" fillId="7" borderId="9" xfId="1" applyFont="1" applyFill="1" applyBorder="1"/>
    <xf numFmtId="0" fontId="8" fillId="0" borderId="0" xfId="1" applyFont="1" applyFill="1" applyBorder="1"/>
    <xf numFmtId="0" fontId="5" fillId="0" borderId="2" xfId="0" applyFont="1" applyFill="1" applyBorder="1" applyAlignment="1">
      <alignment horizontal="left"/>
    </xf>
    <xf numFmtId="0" fontId="8" fillId="7" borderId="7" xfId="1" applyFont="1" applyFill="1" applyBorder="1"/>
    <xf numFmtId="0" fontId="0" fillId="7" borderId="9" xfId="0" applyFill="1" applyBorder="1"/>
    <xf numFmtId="0" fontId="2" fillId="0" borderId="10" xfId="1" applyFont="1" applyFill="1" applyBorder="1"/>
    <xf numFmtId="0" fontId="0" fillId="0" borderId="10" xfId="0" applyFill="1" applyBorder="1"/>
    <xf numFmtId="0" fontId="0" fillId="0" borderId="11" xfId="0" applyBorder="1"/>
    <xf numFmtId="0" fontId="10" fillId="0" borderId="0" xfId="0" applyFont="1"/>
    <xf numFmtId="0" fontId="10" fillId="0" borderId="0" xfId="0" applyFont="1" applyFill="1"/>
    <xf numFmtId="0" fontId="3" fillId="3" borderId="2" xfId="0" applyFont="1" applyFill="1" applyBorder="1" applyAlignment="1">
      <alignment horizontal="center"/>
    </xf>
    <xf numFmtId="0" fontId="8" fillId="6" borderId="2" xfId="1" applyFont="1" applyFill="1" applyBorder="1"/>
    <xf numFmtId="0" fontId="9" fillId="6" borderId="2" xfId="0" applyFont="1" applyFill="1" applyBorder="1"/>
    <xf numFmtId="3" fontId="0" fillId="0" borderId="0" xfId="0" applyNumberFormat="1" applyAlignment="1">
      <alignment horizontal="center"/>
    </xf>
    <xf numFmtId="0" fontId="0" fillId="0" borderId="3" xfId="0" applyFill="1" applyBorder="1"/>
    <xf numFmtId="0" fontId="0" fillId="0" borderId="13" xfId="0" applyFill="1" applyBorder="1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5" xfId="0" applyFill="1" applyBorder="1"/>
    <xf numFmtId="0" fontId="6" fillId="3" borderId="3" xfId="0" applyFont="1" applyFill="1" applyBorder="1"/>
    <xf numFmtId="0" fontId="12" fillId="0" borderId="0" xfId="0" applyFont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3" fillId="0" borderId="0" xfId="0" applyFont="1"/>
    <xf numFmtId="0" fontId="9" fillId="0" borderId="2" xfId="0" applyFont="1" applyBorder="1" applyAlignment="1">
      <alignment horizontal="center"/>
    </xf>
    <xf numFmtId="0" fontId="7" fillId="9" borderId="0" xfId="0" applyFont="1" applyFill="1"/>
    <xf numFmtId="0" fontId="0" fillId="9" borderId="0" xfId="0" applyFill="1"/>
    <xf numFmtId="0" fontId="14" fillId="5" borderId="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6" borderId="0" xfId="0" applyFill="1" applyAlignment="1">
      <alignment horizontal="center"/>
    </xf>
  </cellXfs>
  <cellStyles count="7">
    <cellStyle name="Anteckning" xfId="1" builtinId="10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  <cellStyle name="Normal 5" xfId="5" xr:uid="{00000000-0005-0000-0000-000005000000}"/>
    <cellStyle name="Normal 6" xfId="6" xr:uid="{00000000-0005-0000-0000-000006000000}"/>
  </cellStyles>
  <dxfs count="0"/>
  <tableStyles count="0" defaultTableStyle="TableStyleMedium2" defaultPivotStyle="PivotStyleLight16"/>
  <colors>
    <mruColors>
      <color rgb="FFFF33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1</xdr:row>
      <xdr:rowOff>57150</xdr:rowOff>
    </xdr:from>
    <xdr:to>
      <xdr:col>16</xdr:col>
      <xdr:colOff>158750</xdr:colOff>
      <xdr:row>2</xdr:row>
      <xdr:rowOff>127000</xdr:rowOff>
    </xdr:to>
    <xdr:sp macro="" textlink="">
      <xdr:nvSpPr>
        <xdr:cNvPr id="2" name="textruta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610350" y="241300"/>
          <a:ext cx="4038600" cy="298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Här fyller</a:t>
          </a:r>
          <a:r>
            <a:rPr lang="sv-SE" sz="1100" baseline="0"/>
            <a:t> du i antalet lärarledda timmar enligt utbildningsplanen</a:t>
          </a:r>
          <a:endParaRPr lang="sv-SE" sz="1100"/>
        </a:p>
      </xdr:txBody>
    </xdr:sp>
    <xdr:clientData/>
  </xdr:twoCellAnchor>
  <xdr:twoCellAnchor>
    <xdr:from>
      <xdr:col>2</xdr:col>
      <xdr:colOff>1060450</xdr:colOff>
      <xdr:row>1</xdr:row>
      <xdr:rowOff>152400</xdr:rowOff>
    </xdr:from>
    <xdr:to>
      <xdr:col>3</xdr:col>
      <xdr:colOff>425450</xdr:colOff>
      <xdr:row>1</xdr:row>
      <xdr:rowOff>206375</xdr:rowOff>
    </xdr:to>
    <xdr:cxnSp macro="">
      <xdr:nvCxnSpPr>
        <xdr:cNvPr id="4" name="Rak pilkoppling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6045200" y="336550"/>
          <a:ext cx="565150" cy="53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</xdr:row>
      <xdr:rowOff>146050</xdr:rowOff>
    </xdr:from>
    <xdr:to>
      <xdr:col>1</xdr:col>
      <xdr:colOff>1803400</xdr:colOff>
      <xdr:row>11</xdr:row>
      <xdr:rowOff>50800</xdr:rowOff>
    </xdr:to>
    <xdr:sp macro="" textlink="">
      <xdr:nvSpPr>
        <xdr:cNvPr id="5" name="textrut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143250" y="1295400"/>
          <a:ext cx="1422400" cy="69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Här</a:t>
          </a:r>
          <a:r>
            <a:rPr lang="sv-SE" sz="1100" baseline="0"/>
            <a:t> skriver du namnet på din kurs</a:t>
          </a:r>
          <a:endParaRPr lang="sv-SE" sz="1100"/>
        </a:p>
      </xdr:txBody>
    </xdr:sp>
    <xdr:clientData/>
  </xdr:twoCellAnchor>
  <xdr:twoCellAnchor>
    <xdr:from>
      <xdr:col>2</xdr:col>
      <xdr:colOff>254000</xdr:colOff>
      <xdr:row>6</xdr:row>
      <xdr:rowOff>114300</xdr:rowOff>
    </xdr:from>
    <xdr:to>
      <xdr:col>2</xdr:col>
      <xdr:colOff>920750</xdr:colOff>
      <xdr:row>10</xdr:row>
      <xdr:rowOff>133350</xdr:rowOff>
    </xdr:to>
    <xdr:sp macro="" textlink="">
      <xdr:nvSpPr>
        <xdr:cNvPr id="6" name="textruta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38750" y="1263650"/>
          <a:ext cx="666750" cy="65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Kursens</a:t>
          </a:r>
          <a:r>
            <a:rPr lang="sv-SE" sz="1100" baseline="0"/>
            <a:t> poäng</a:t>
          </a:r>
          <a:endParaRPr lang="sv-SE" sz="1100"/>
        </a:p>
        <a:p>
          <a:endParaRPr lang="sv-SE" sz="1100"/>
        </a:p>
      </xdr:txBody>
    </xdr:sp>
    <xdr:clientData/>
  </xdr:twoCellAnchor>
  <xdr:twoCellAnchor>
    <xdr:from>
      <xdr:col>3</xdr:col>
      <xdr:colOff>476250</xdr:colOff>
      <xdr:row>7</xdr:row>
      <xdr:rowOff>76200</xdr:rowOff>
    </xdr:from>
    <xdr:to>
      <xdr:col>3</xdr:col>
      <xdr:colOff>1504950</xdr:colOff>
      <xdr:row>11</xdr:row>
      <xdr:rowOff>139700</xdr:rowOff>
    </xdr:to>
    <xdr:sp macro="" textlink="">
      <xdr:nvSpPr>
        <xdr:cNvPr id="7" name="textruta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6661150" y="1384300"/>
          <a:ext cx="1028700" cy="69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Antal veckor som</a:t>
          </a:r>
          <a:r>
            <a:rPr lang="sv-SE" sz="1100" baseline="0"/>
            <a:t> kursen pågår</a:t>
          </a:r>
          <a:endParaRPr lang="sv-SE" sz="1100"/>
        </a:p>
      </xdr:txBody>
    </xdr:sp>
    <xdr:clientData/>
  </xdr:twoCellAnchor>
  <xdr:twoCellAnchor>
    <xdr:from>
      <xdr:col>24</xdr:col>
      <xdr:colOff>107950</xdr:colOff>
      <xdr:row>1</xdr:row>
      <xdr:rowOff>19050</xdr:rowOff>
    </xdr:from>
    <xdr:to>
      <xdr:col>33</xdr:col>
      <xdr:colOff>412750</xdr:colOff>
      <xdr:row>2</xdr:row>
      <xdr:rowOff>165100</xdr:rowOff>
    </xdr:to>
    <xdr:sp macro="" textlink="">
      <xdr:nvSpPr>
        <xdr:cNvPr id="8" name="textruta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2020550" y="203200"/>
          <a:ext cx="3314700" cy="37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Här fyller du i veckonummer för de olika terminerna</a:t>
          </a:r>
        </a:p>
      </xdr:txBody>
    </xdr:sp>
    <xdr:clientData/>
  </xdr:twoCellAnchor>
  <xdr:twoCellAnchor>
    <xdr:from>
      <xdr:col>19</xdr:col>
      <xdr:colOff>25400</xdr:colOff>
      <xdr:row>1</xdr:row>
      <xdr:rowOff>206375</xdr:rowOff>
    </xdr:from>
    <xdr:to>
      <xdr:col>24</xdr:col>
      <xdr:colOff>107950</xdr:colOff>
      <xdr:row>5</xdr:row>
      <xdr:rowOff>101600</xdr:rowOff>
    </xdr:to>
    <xdr:cxnSp macro="">
      <xdr:nvCxnSpPr>
        <xdr:cNvPr id="10" name="Rak pilkoppling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stCxn id="8" idx="1"/>
        </xdr:cNvCxnSpPr>
      </xdr:nvCxnSpPr>
      <xdr:spPr>
        <a:xfrm flipH="1">
          <a:off x="11049000" y="390525"/>
          <a:ext cx="971550" cy="676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69850</xdr:colOff>
      <xdr:row>7</xdr:row>
      <xdr:rowOff>107950</xdr:rowOff>
    </xdr:from>
    <xdr:ext cx="1485900" cy="2349500"/>
    <xdr:sp macro="" textlink="">
      <xdr:nvSpPr>
        <xdr:cNvPr id="11" name="textruta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3773150" y="1416050"/>
          <a:ext cx="1485900" cy="2349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sv-SE" sz="1100"/>
            <a:t>Här färglägger du veckorna som resp kurs pågår. Efterhand fyller du i det antal lärarledda</a:t>
          </a:r>
          <a:r>
            <a:rPr lang="sv-SE" sz="1100" baseline="0"/>
            <a:t> timmar som de studerande har fått varje vecka.</a:t>
          </a:r>
        </a:p>
        <a:p>
          <a:endParaRPr lang="sv-SE" sz="1100" baseline="0"/>
        </a:p>
        <a:p>
          <a:r>
            <a:rPr lang="sv-SE" sz="1100" baseline="0"/>
            <a:t>Summan kommer automatiskt här</a:t>
          </a:r>
          <a:endParaRPr lang="sv-SE" sz="1100"/>
        </a:p>
      </xdr:txBody>
    </xdr:sp>
    <xdr:clientData/>
  </xdr:oneCellAnchor>
  <xdr:twoCellAnchor>
    <xdr:from>
      <xdr:col>10</xdr:col>
      <xdr:colOff>63500</xdr:colOff>
      <xdr:row>6</xdr:row>
      <xdr:rowOff>139700</xdr:rowOff>
    </xdr:from>
    <xdr:to>
      <xdr:col>31</xdr:col>
      <xdr:colOff>50800</xdr:colOff>
      <xdr:row>10</xdr:row>
      <xdr:rowOff>38100</xdr:rowOff>
    </xdr:to>
    <xdr:cxnSp macro="">
      <xdr:nvCxnSpPr>
        <xdr:cNvPr id="13" name="Rak pilkoppling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H="1" flipV="1">
          <a:off x="9486900" y="1289050"/>
          <a:ext cx="426720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63500</xdr:colOff>
      <xdr:row>7</xdr:row>
      <xdr:rowOff>76200</xdr:rowOff>
    </xdr:from>
    <xdr:to>
      <xdr:col>31</xdr:col>
      <xdr:colOff>107950</xdr:colOff>
      <xdr:row>17</xdr:row>
      <xdr:rowOff>107950</xdr:rowOff>
    </xdr:to>
    <xdr:cxnSp macro="">
      <xdr:nvCxnSpPr>
        <xdr:cNvPr id="15" name="Rak pilkoppling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flipH="1" flipV="1">
          <a:off x="13157200" y="1384300"/>
          <a:ext cx="654050" cy="1644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50800</xdr:colOff>
      <xdr:row>58</xdr:row>
      <xdr:rowOff>114300</xdr:rowOff>
    </xdr:from>
    <xdr:to>
      <xdr:col>22</xdr:col>
      <xdr:colOff>57150</xdr:colOff>
      <xdr:row>67</xdr:row>
      <xdr:rowOff>158750</xdr:rowOff>
    </xdr:to>
    <xdr:sp macro="" textlink="">
      <xdr:nvSpPr>
        <xdr:cNvPr id="16" name="textruta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9118600" y="10407650"/>
          <a:ext cx="2495550" cy="170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Här uppdateras terminens</a:t>
          </a:r>
          <a:r>
            <a:rPr lang="sv-SE" sz="1100" baseline="0"/>
            <a:t> sammalagda lärarledda timmar automatiskt.</a:t>
          </a:r>
        </a:p>
        <a:p>
          <a:endParaRPr lang="sv-SE" sz="1100" baseline="0"/>
        </a:p>
        <a:p>
          <a:r>
            <a:rPr lang="sv-SE" sz="1100" baseline="0"/>
            <a:t>Summan ser du här.</a:t>
          </a:r>
        </a:p>
        <a:p>
          <a:endParaRPr lang="sv-SE" sz="1100" baseline="0"/>
        </a:p>
        <a:p>
          <a:r>
            <a:rPr lang="sv-SE" sz="1100" baseline="0"/>
            <a:t>Kvar lärarledda timmar att fördela ser du här.</a:t>
          </a:r>
          <a:endParaRPr lang="sv-SE" sz="1100"/>
        </a:p>
      </xdr:txBody>
    </xdr:sp>
    <xdr:clientData/>
  </xdr:twoCellAnchor>
  <xdr:twoCellAnchor>
    <xdr:from>
      <xdr:col>4</xdr:col>
      <xdr:colOff>44450</xdr:colOff>
      <xdr:row>59</xdr:row>
      <xdr:rowOff>171450</xdr:rowOff>
    </xdr:from>
    <xdr:to>
      <xdr:col>8</xdr:col>
      <xdr:colOff>133350</xdr:colOff>
      <xdr:row>60</xdr:row>
      <xdr:rowOff>101600</xdr:rowOff>
    </xdr:to>
    <xdr:cxnSp macro="">
      <xdr:nvCxnSpPr>
        <xdr:cNvPr id="18" name="Rak pilkoppling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H="1" flipV="1">
          <a:off x="8362950" y="10648950"/>
          <a:ext cx="83820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63</xdr:row>
      <xdr:rowOff>44450</xdr:rowOff>
    </xdr:from>
    <xdr:to>
      <xdr:col>8</xdr:col>
      <xdr:colOff>50800</xdr:colOff>
      <xdr:row>63</xdr:row>
      <xdr:rowOff>101600</xdr:rowOff>
    </xdr:to>
    <xdr:cxnSp macro="">
      <xdr:nvCxnSpPr>
        <xdr:cNvPr id="20" name="Rak pilkoppling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>
          <a:stCxn id="16" idx="1"/>
        </xdr:cNvCxnSpPr>
      </xdr:nvCxnSpPr>
      <xdr:spPr>
        <a:xfrm flipH="1">
          <a:off x="8318500" y="11258550"/>
          <a:ext cx="800100" cy="57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2120900</xdr:colOff>
      <xdr:row>65</xdr:row>
      <xdr:rowOff>6350</xdr:rowOff>
    </xdr:from>
    <xdr:to>
      <xdr:col>8</xdr:col>
      <xdr:colOff>76200</xdr:colOff>
      <xdr:row>65</xdr:row>
      <xdr:rowOff>107950</xdr:rowOff>
    </xdr:to>
    <xdr:cxnSp macro="">
      <xdr:nvCxnSpPr>
        <xdr:cNvPr id="22" name="Rak pilkoppling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 flipH="1">
          <a:off x="8305800" y="11588750"/>
          <a:ext cx="838200" cy="101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107950</xdr:colOff>
      <xdr:row>30</xdr:row>
      <xdr:rowOff>152400</xdr:rowOff>
    </xdr:from>
    <xdr:ext cx="184731" cy="264560"/>
    <xdr:sp macro="" textlink="">
      <xdr:nvSpPr>
        <xdr:cNvPr id="23" name="textruta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14420850" y="528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sv-SE" sz="1100"/>
        </a:p>
      </xdr:txBody>
    </xdr:sp>
    <xdr:clientData/>
  </xdr:oneCellAnchor>
  <xdr:twoCellAnchor>
    <xdr:from>
      <xdr:col>31</xdr:col>
      <xdr:colOff>222250</xdr:colOff>
      <xdr:row>22</xdr:row>
      <xdr:rowOff>152400</xdr:rowOff>
    </xdr:from>
    <xdr:to>
      <xdr:col>32</xdr:col>
      <xdr:colOff>596900</xdr:colOff>
      <xdr:row>38</xdr:row>
      <xdr:rowOff>171450</xdr:rowOff>
    </xdr:to>
    <xdr:sp macro="" textlink="">
      <xdr:nvSpPr>
        <xdr:cNvPr id="24" name="textruta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13925550" y="3867150"/>
          <a:ext cx="984250" cy="291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600" b="1">
              <a:solidFill>
                <a:srgbClr val="FF0000"/>
              </a:solidFill>
            </a:rPr>
            <a:t>OBS!!!</a:t>
          </a:r>
        </a:p>
        <a:p>
          <a:r>
            <a:rPr lang="sv-SE" sz="1600" b="1">
              <a:solidFill>
                <a:srgbClr val="FF0000"/>
              </a:solidFill>
            </a:rPr>
            <a:t>Inga rader eller celler får tas bort eller läggas till.</a:t>
          </a:r>
        </a:p>
      </xdr:txBody>
    </xdr:sp>
    <xdr:clientData/>
  </xdr:twoCellAnchor>
  <xdr:twoCellAnchor editAs="oneCell">
    <xdr:from>
      <xdr:col>0</xdr:col>
      <xdr:colOff>121920</xdr:colOff>
      <xdr:row>0</xdr:row>
      <xdr:rowOff>121920</xdr:rowOff>
    </xdr:from>
    <xdr:to>
      <xdr:col>0</xdr:col>
      <xdr:colOff>2552700</xdr:colOff>
      <xdr:row>0</xdr:row>
      <xdr:rowOff>450295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AA7659E4-4570-4EE2-A9F2-186671038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121920"/>
          <a:ext cx="2430780" cy="328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114300</xdr:rowOff>
    </xdr:from>
    <xdr:to>
      <xdr:col>0</xdr:col>
      <xdr:colOff>2527935</xdr:colOff>
      <xdr:row>0</xdr:row>
      <xdr:rowOff>457915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1E13F08C-73D5-4DBC-80FD-1BBF76606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114300"/>
          <a:ext cx="2430780" cy="32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6"/>
  <sheetViews>
    <sheetView workbookViewId="0">
      <selection activeCell="B19" sqref="B19"/>
    </sheetView>
  </sheetViews>
  <sheetFormatPr defaultRowHeight="14.4" x14ac:dyDescent="0.55000000000000004"/>
  <cols>
    <col min="1" max="1" width="39.578125" customWidth="1"/>
    <col min="2" max="2" width="31.83984375" bestFit="1" customWidth="1"/>
    <col min="3" max="3" width="17.15625" style="9" customWidth="1"/>
    <col min="4" max="4" width="30.578125" customWidth="1"/>
    <col min="5" max="5" width="2.83984375" bestFit="1" customWidth="1"/>
    <col min="6" max="6" width="2.578125" customWidth="1"/>
    <col min="7" max="7" width="2.83984375" bestFit="1" customWidth="1"/>
    <col min="8" max="25" width="2.578125" customWidth="1"/>
    <col min="26" max="27" width="3" customWidth="1"/>
    <col min="28" max="29" width="2.83984375" customWidth="1"/>
    <col min="30" max="30" width="2.68359375" customWidth="1"/>
  </cols>
  <sheetData>
    <row r="1" spans="1:32" ht="45" customHeight="1" thickBot="1" x14ac:dyDescent="0.6">
      <c r="A1" s="77"/>
      <c r="B1" s="77"/>
      <c r="C1" s="77"/>
      <c r="D1" s="77"/>
      <c r="E1" s="77"/>
      <c r="F1" s="77"/>
      <c r="G1" s="77"/>
      <c r="H1" s="77"/>
      <c r="I1" s="77"/>
    </row>
    <row r="2" spans="1:32" s="4" customFormat="1" ht="18" thickTop="1" x14ac:dyDescent="0.6">
      <c r="A2" s="5"/>
      <c r="B2" s="30" t="s">
        <v>0</v>
      </c>
      <c r="C2" s="38"/>
      <c r="D2" s="7"/>
    </row>
    <row r="3" spans="1:32" x14ac:dyDescent="0.55000000000000004"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32" x14ac:dyDescent="0.55000000000000004">
      <c r="A4" s="1" t="s">
        <v>1</v>
      </c>
      <c r="B4" s="1" t="s">
        <v>2</v>
      </c>
      <c r="C4" s="10"/>
      <c r="D4" s="1"/>
    </row>
    <row r="5" spans="1:32" x14ac:dyDescent="0.55000000000000004">
      <c r="A5" s="2" t="s">
        <v>3</v>
      </c>
      <c r="B5" s="2" t="s">
        <v>4</v>
      </c>
      <c r="C5" s="11" t="s">
        <v>5</v>
      </c>
      <c r="D5" s="2" t="s">
        <v>6</v>
      </c>
      <c r="E5" s="80" t="s">
        <v>7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2"/>
      <c r="AD5" s="83" t="s">
        <v>8</v>
      </c>
      <c r="AE5" s="83"/>
      <c r="AF5" s="83"/>
    </row>
    <row r="6" spans="1:32" x14ac:dyDescent="0.55000000000000004">
      <c r="A6" s="3"/>
      <c r="B6" s="3"/>
      <c r="C6" s="12"/>
      <c r="D6" s="3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1"/>
      <c r="Z6" s="21"/>
    </row>
    <row r="7" spans="1:32" ht="12.75" customHeight="1" x14ac:dyDescent="0.55000000000000004">
      <c r="A7" s="3" t="s">
        <v>9</v>
      </c>
      <c r="B7" s="3"/>
      <c r="C7" s="12"/>
      <c r="D7" s="3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6"/>
      <c r="Z7" s="26"/>
      <c r="AD7" s="31">
        <f t="shared" ref="AD7:AD12" si="0">SUM(E7:Z7)</f>
        <v>0</v>
      </c>
    </row>
    <row r="8" spans="1:32" ht="12.75" customHeight="1" x14ac:dyDescent="0.55000000000000004">
      <c r="A8" s="3" t="s">
        <v>10</v>
      </c>
      <c r="B8" s="3"/>
      <c r="C8" s="12"/>
      <c r="D8" s="3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6"/>
      <c r="Z8" s="26"/>
      <c r="AD8" s="31">
        <f t="shared" si="0"/>
        <v>0</v>
      </c>
    </row>
    <row r="9" spans="1:32" ht="12.75" customHeight="1" x14ac:dyDescent="0.55000000000000004">
      <c r="A9" s="3" t="s">
        <v>11</v>
      </c>
      <c r="B9" s="3"/>
      <c r="C9" s="12"/>
      <c r="D9" s="3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6"/>
      <c r="Z9" s="26"/>
      <c r="AD9" s="31">
        <f t="shared" si="0"/>
        <v>0</v>
      </c>
    </row>
    <row r="10" spans="1:32" ht="12.75" customHeight="1" x14ac:dyDescent="0.55000000000000004">
      <c r="A10" s="3" t="s">
        <v>12</v>
      </c>
      <c r="B10" s="3"/>
      <c r="C10" s="12"/>
      <c r="D10" s="3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6"/>
      <c r="Z10" s="26"/>
      <c r="AD10" s="31">
        <f t="shared" si="0"/>
        <v>0</v>
      </c>
    </row>
    <row r="11" spans="1:32" ht="12.75" customHeight="1" x14ac:dyDescent="0.55000000000000004">
      <c r="A11" s="3" t="s">
        <v>13</v>
      </c>
      <c r="B11" s="3"/>
      <c r="C11" s="12"/>
      <c r="D11" s="3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6"/>
      <c r="Z11" s="26"/>
      <c r="AD11" s="31">
        <f t="shared" si="0"/>
        <v>0</v>
      </c>
    </row>
    <row r="12" spans="1:32" ht="12.75" customHeight="1" x14ac:dyDescent="0.55000000000000004">
      <c r="A12" s="3" t="s">
        <v>14</v>
      </c>
      <c r="B12" s="3"/>
      <c r="C12" s="12"/>
      <c r="D12" s="3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17"/>
      <c r="Z12" s="17"/>
      <c r="AD12" s="31">
        <f t="shared" si="0"/>
        <v>0</v>
      </c>
      <c r="AE12" s="43"/>
    </row>
    <row r="13" spans="1:32" ht="12.75" customHeight="1" x14ac:dyDescent="0.55000000000000004">
      <c r="A13" s="1" t="s">
        <v>15</v>
      </c>
      <c r="B13" s="1"/>
      <c r="C13" s="13">
        <f>SUM(C6:C12)</f>
        <v>0</v>
      </c>
      <c r="D13" s="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AD13" s="4"/>
      <c r="AE13" s="20"/>
    </row>
    <row r="14" spans="1:32" ht="12.75" customHeight="1" x14ac:dyDescent="0.55000000000000004">
      <c r="A14" s="5"/>
      <c r="B14" s="5"/>
      <c r="C14" s="14"/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AD14" s="4"/>
      <c r="AE14" s="19"/>
    </row>
    <row r="15" spans="1:32" ht="12.75" customHeight="1" x14ac:dyDescent="0.55000000000000004">
      <c r="E15" s="4"/>
      <c r="F15" s="4"/>
      <c r="G15" s="4"/>
      <c r="H15" s="2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AD15" s="4"/>
    </row>
    <row r="16" spans="1:32" x14ac:dyDescent="0.55000000000000004">
      <c r="A16" s="1"/>
      <c r="B16" s="1"/>
      <c r="C16" s="10"/>
      <c r="D16" s="1"/>
      <c r="AD16" s="4"/>
    </row>
    <row r="17" spans="1:33" ht="12.75" customHeight="1" x14ac:dyDescent="0.55000000000000004">
      <c r="A17" s="2" t="s">
        <v>16</v>
      </c>
      <c r="B17" s="2" t="s">
        <v>4</v>
      </c>
      <c r="C17" s="11" t="s">
        <v>5</v>
      </c>
      <c r="D17" s="15" t="s">
        <v>6</v>
      </c>
      <c r="E17" s="80" t="s">
        <v>7</v>
      </c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2"/>
      <c r="AA17" s="7"/>
      <c r="AB17" s="7"/>
      <c r="AC17" s="23"/>
      <c r="AD17" s="23"/>
    </row>
    <row r="18" spans="1:33" ht="12.75" customHeight="1" x14ac:dyDescent="0.55000000000000004">
      <c r="A18" s="3"/>
      <c r="B18" s="3"/>
      <c r="C18" s="12"/>
      <c r="D18" s="3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21"/>
      <c r="Z18" s="21"/>
      <c r="AA18" s="24"/>
      <c r="AB18" s="24"/>
      <c r="AC18" s="24"/>
      <c r="AD18" s="24"/>
    </row>
    <row r="19" spans="1:33" ht="12.75" customHeight="1" x14ac:dyDescent="0.55000000000000004">
      <c r="A19" s="3" t="s">
        <v>9</v>
      </c>
      <c r="B19" s="3"/>
      <c r="C19" s="12"/>
      <c r="D19" s="3"/>
      <c r="E19" s="28"/>
      <c r="F19" s="28"/>
      <c r="G19" s="28"/>
      <c r="H19" s="28"/>
      <c r="I19" s="28"/>
      <c r="J19" s="28"/>
      <c r="K19" s="33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6"/>
      <c r="Z19" s="26"/>
      <c r="AA19" s="23"/>
      <c r="AB19" s="23"/>
      <c r="AC19" s="23"/>
      <c r="AD19" s="31">
        <f>SUM(E19:Z19)</f>
        <v>0</v>
      </c>
      <c r="AE19" s="18"/>
    </row>
    <row r="20" spans="1:33" ht="12.75" customHeight="1" x14ac:dyDescent="0.55000000000000004">
      <c r="A20" s="3" t="s">
        <v>10</v>
      </c>
      <c r="B20" s="3"/>
      <c r="C20" s="12"/>
      <c r="D20" s="3"/>
      <c r="E20" s="28"/>
      <c r="F20" s="28"/>
      <c r="G20" s="28"/>
      <c r="H20" s="28"/>
      <c r="I20" s="29"/>
      <c r="J20" s="29"/>
      <c r="K20" s="33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6"/>
      <c r="Z20" s="26"/>
      <c r="AA20" s="23"/>
      <c r="AB20" s="23"/>
      <c r="AC20" s="23"/>
      <c r="AD20" s="31">
        <f t="shared" ref="AD20:AD24" si="1">SUM(E20:Z20)</f>
        <v>0</v>
      </c>
      <c r="AE20" s="18"/>
    </row>
    <row r="21" spans="1:33" ht="12.75" customHeight="1" x14ac:dyDescent="0.55000000000000004">
      <c r="A21" s="3" t="s">
        <v>11</v>
      </c>
      <c r="B21" s="3"/>
      <c r="C21" s="12"/>
      <c r="D21" s="3"/>
      <c r="E21" s="28"/>
      <c r="F21" s="28"/>
      <c r="G21" s="28"/>
      <c r="H21" s="28"/>
      <c r="I21" s="29"/>
      <c r="J21" s="29"/>
      <c r="K21" s="33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6"/>
      <c r="Z21" s="26"/>
      <c r="AA21" s="23"/>
      <c r="AB21" s="23"/>
      <c r="AC21" s="23"/>
      <c r="AD21" s="31">
        <f t="shared" si="1"/>
        <v>0</v>
      </c>
      <c r="AE21" s="18"/>
    </row>
    <row r="22" spans="1:33" ht="12.75" customHeight="1" x14ac:dyDescent="0.55000000000000004">
      <c r="A22" s="3" t="s">
        <v>12</v>
      </c>
      <c r="B22" s="3"/>
      <c r="C22" s="12"/>
      <c r="D22" s="3"/>
      <c r="E22" s="28"/>
      <c r="F22" s="28"/>
      <c r="G22" s="28"/>
      <c r="H22" s="28"/>
      <c r="I22" s="29"/>
      <c r="J22" s="29"/>
      <c r="K22" s="33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6"/>
      <c r="Z22" s="26"/>
      <c r="AA22" s="23"/>
      <c r="AB22" s="23"/>
      <c r="AC22" s="23"/>
      <c r="AD22" s="31">
        <f t="shared" si="1"/>
        <v>0</v>
      </c>
      <c r="AE22" s="18"/>
    </row>
    <row r="23" spans="1:33" ht="12.75" customHeight="1" x14ac:dyDescent="0.55000000000000004">
      <c r="A23" s="3" t="s">
        <v>13</v>
      </c>
      <c r="B23" s="3"/>
      <c r="C23" s="12"/>
      <c r="D23" s="3"/>
      <c r="E23" s="28"/>
      <c r="F23" s="28"/>
      <c r="G23" s="28"/>
      <c r="H23" s="28"/>
      <c r="I23" s="29"/>
      <c r="J23" s="29"/>
      <c r="K23" s="33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6"/>
      <c r="Z23" s="26"/>
      <c r="AA23" s="23"/>
      <c r="AB23" s="23"/>
      <c r="AC23" s="23"/>
      <c r="AD23" s="31">
        <f t="shared" si="1"/>
        <v>0</v>
      </c>
      <c r="AE23" s="18"/>
      <c r="AF23" s="44"/>
      <c r="AG23" s="44"/>
    </row>
    <row r="24" spans="1:33" ht="12.75" customHeight="1" x14ac:dyDescent="0.55000000000000004">
      <c r="A24" s="3" t="s">
        <v>14</v>
      </c>
      <c r="B24" s="3"/>
      <c r="C24" s="12"/>
      <c r="D24" s="3"/>
      <c r="E24" s="36"/>
      <c r="F24" s="36"/>
      <c r="G24" s="36"/>
      <c r="H24" s="36"/>
      <c r="I24" s="39"/>
      <c r="J24" s="39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40"/>
      <c r="Z24" s="40"/>
      <c r="AA24" s="23"/>
      <c r="AB24" s="23"/>
      <c r="AC24" s="23"/>
      <c r="AD24" s="31">
        <f t="shared" si="1"/>
        <v>0</v>
      </c>
      <c r="AF24" s="44"/>
      <c r="AG24" s="44"/>
    </row>
    <row r="25" spans="1:33" x14ac:dyDescent="0.55000000000000004">
      <c r="A25" s="1" t="s">
        <v>17</v>
      </c>
      <c r="B25" s="1"/>
      <c r="C25" s="10">
        <f>SUM(C18:C24)</f>
        <v>0</v>
      </c>
      <c r="D25" s="35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2"/>
      <c r="Z25" s="42"/>
      <c r="AA25" s="23"/>
      <c r="AB25" s="23"/>
      <c r="AC25" s="23"/>
      <c r="AD25" s="4"/>
      <c r="AF25" s="44"/>
      <c r="AG25" s="44"/>
    </row>
    <row r="26" spans="1:33" s="4" customFormat="1" x14ac:dyDescent="0.55000000000000004">
      <c r="A26" s="5"/>
      <c r="B26" s="5"/>
      <c r="C26" s="14"/>
      <c r="D26" s="5"/>
      <c r="AF26" s="45"/>
      <c r="AG26" s="45"/>
    </row>
    <row r="27" spans="1:33" s="4" customFormat="1" x14ac:dyDescent="0.55000000000000004">
      <c r="A27" s="5"/>
      <c r="B27" s="5"/>
      <c r="C27" s="14"/>
      <c r="D27" s="5"/>
      <c r="AF27" s="45"/>
      <c r="AG27" s="45"/>
    </row>
    <row r="28" spans="1:33" s="4" customFormat="1" x14ac:dyDescent="0.55000000000000004">
      <c r="A28" s="1"/>
      <c r="B28" s="1"/>
      <c r="C28" s="10"/>
      <c r="D28" s="1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AF28" s="45"/>
      <c r="AG28" s="45"/>
    </row>
    <row r="29" spans="1:33" s="4" customFormat="1" x14ac:dyDescent="0.55000000000000004">
      <c r="A29" s="2" t="s">
        <v>18</v>
      </c>
      <c r="B29" s="2" t="s">
        <v>4</v>
      </c>
      <c r="C29" s="11" t="s">
        <v>5</v>
      </c>
      <c r="D29" s="2" t="s">
        <v>6</v>
      </c>
      <c r="E29" s="80" t="s">
        <v>7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2"/>
      <c r="AF29" s="45"/>
      <c r="AG29" s="45"/>
    </row>
    <row r="30" spans="1:33" s="4" customFormat="1" x14ac:dyDescent="0.55000000000000004">
      <c r="A30" s="3"/>
      <c r="B30" s="3"/>
      <c r="C30" s="12"/>
      <c r="D30" s="3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1"/>
      <c r="Z30" s="21"/>
      <c r="AF30" s="45"/>
      <c r="AG30" s="45"/>
    </row>
    <row r="31" spans="1:33" s="4" customFormat="1" x14ac:dyDescent="0.55000000000000004">
      <c r="A31" s="3" t="s">
        <v>9</v>
      </c>
      <c r="B31" s="3"/>
      <c r="C31" s="12"/>
      <c r="D31" s="3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6"/>
      <c r="Z31" s="26"/>
      <c r="AD31" s="31">
        <f>SUM(E31:Z31)</f>
        <v>0</v>
      </c>
      <c r="AF31" s="45"/>
      <c r="AG31" s="45"/>
    </row>
    <row r="32" spans="1:33" s="4" customFormat="1" x14ac:dyDescent="0.55000000000000004">
      <c r="A32" s="3" t="s">
        <v>10</v>
      </c>
      <c r="B32" s="3"/>
      <c r="C32" s="12"/>
      <c r="D32" s="3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6"/>
      <c r="Z32" s="26"/>
      <c r="AD32" s="31">
        <f t="shared" ref="AD32:AD36" si="2">SUM(E32:Z32)</f>
        <v>0</v>
      </c>
      <c r="AF32" s="45"/>
      <c r="AG32" s="45"/>
    </row>
    <row r="33" spans="1:33" s="4" customFormat="1" x14ac:dyDescent="0.55000000000000004">
      <c r="A33" s="3" t="s">
        <v>11</v>
      </c>
      <c r="B33" s="3"/>
      <c r="C33" s="12"/>
      <c r="D33" s="3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6"/>
      <c r="Z33" s="26"/>
      <c r="AD33" s="31">
        <f t="shared" si="2"/>
        <v>0</v>
      </c>
      <c r="AF33" s="45"/>
      <c r="AG33" s="45"/>
    </row>
    <row r="34" spans="1:33" s="4" customFormat="1" x14ac:dyDescent="0.55000000000000004">
      <c r="A34" s="3" t="s">
        <v>12</v>
      </c>
      <c r="B34" s="3"/>
      <c r="C34" s="12"/>
      <c r="D34" s="3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6"/>
      <c r="Z34" s="26"/>
      <c r="AD34" s="31">
        <f t="shared" si="2"/>
        <v>0</v>
      </c>
      <c r="AF34" s="45"/>
      <c r="AG34" s="45"/>
    </row>
    <row r="35" spans="1:33" s="4" customFormat="1" x14ac:dyDescent="0.55000000000000004">
      <c r="A35" s="3" t="s">
        <v>13</v>
      </c>
      <c r="B35" s="3"/>
      <c r="C35" s="12"/>
      <c r="D35" s="3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6"/>
      <c r="Z35" s="26"/>
      <c r="AD35" s="31">
        <f t="shared" si="2"/>
        <v>0</v>
      </c>
      <c r="AF35" s="45"/>
      <c r="AG35" s="45"/>
    </row>
    <row r="36" spans="1:33" s="4" customFormat="1" x14ac:dyDescent="0.55000000000000004">
      <c r="A36" s="3" t="s">
        <v>14</v>
      </c>
      <c r="B36" s="3"/>
      <c r="C36" s="12"/>
      <c r="D36" s="3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40"/>
      <c r="Z36" s="40"/>
      <c r="AD36" s="31">
        <f t="shared" si="2"/>
        <v>0</v>
      </c>
      <c r="AF36" s="45"/>
      <c r="AG36" s="45"/>
    </row>
    <row r="37" spans="1:33" s="4" customFormat="1" x14ac:dyDescent="0.55000000000000004">
      <c r="A37" s="1" t="s">
        <v>19</v>
      </c>
      <c r="B37" s="1"/>
      <c r="C37" s="13">
        <f>SUM(C30:C36)</f>
        <v>0</v>
      </c>
      <c r="D37" s="1"/>
      <c r="Y37" s="42"/>
      <c r="Z37" s="42"/>
      <c r="AF37" s="45"/>
      <c r="AG37" s="45"/>
    </row>
    <row r="38" spans="1:33" s="4" customFormat="1" x14ac:dyDescent="0.55000000000000004">
      <c r="A38" s="5"/>
      <c r="B38" s="5"/>
      <c r="C38" s="14"/>
      <c r="D38" s="5"/>
      <c r="AF38" s="45"/>
      <c r="AG38" s="45"/>
    </row>
    <row r="39" spans="1:33" s="4" customFormat="1" x14ac:dyDescent="0.55000000000000004">
      <c r="A39" s="5"/>
      <c r="B39" s="5"/>
      <c r="C39" s="14"/>
      <c r="D39" s="5"/>
      <c r="AF39" s="45"/>
      <c r="AG39" s="45"/>
    </row>
    <row r="40" spans="1:33" s="4" customFormat="1" x14ac:dyDescent="0.55000000000000004">
      <c r="A40" s="1"/>
      <c r="B40" s="1"/>
      <c r="C40" s="10"/>
      <c r="D40" s="1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AF40" s="45"/>
      <c r="AG40" s="45"/>
    </row>
    <row r="41" spans="1:33" s="4" customFormat="1" x14ac:dyDescent="0.55000000000000004">
      <c r="A41" s="2" t="s">
        <v>20</v>
      </c>
      <c r="B41" s="2" t="s">
        <v>4</v>
      </c>
      <c r="C41" s="11" t="s">
        <v>5</v>
      </c>
      <c r="D41" s="2" t="s">
        <v>6</v>
      </c>
      <c r="E41" s="80" t="s">
        <v>7</v>
      </c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2"/>
      <c r="AF41" s="45"/>
      <c r="AG41" s="45"/>
    </row>
    <row r="42" spans="1:33" s="4" customFormat="1" x14ac:dyDescent="0.55000000000000004">
      <c r="A42" s="3"/>
      <c r="B42" s="3"/>
      <c r="C42" s="12"/>
      <c r="D42" s="3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21"/>
      <c r="Z42" s="21"/>
    </row>
    <row r="43" spans="1:33" s="4" customFormat="1" x14ac:dyDescent="0.55000000000000004">
      <c r="A43" s="3" t="s">
        <v>9</v>
      </c>
      <c r="B43" s="3"/>
      <c r="C43" s="12"/>
      <c r="D43" s="3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28"/>
      <c r="X43" s="28"/>
      <c r="Y43" s="26"/>
      <c r="Z43" s="26"/>
      <c r="AD43" s="31">
        <f>SUM(E43:Z43)</f>
        <v>0</v>
      </c>
    </row>
    <row r="44" spans="1:33" s="4" customFormat="1" x14ac:dyDescent="0.55000000000000004">
      <c r="A44" s="3" t="s">
        <v>10</v>
      </c>
      <c r="B44" s="3"/>
      <c r="C44" s="12"/>
      <c r="D44" s="3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6"/>
      <c r="Z44" s="26"/>
      <c r="AD44" s="31">
        <f t="shared" ref="AD44:AD48" si="3">SUM(E44:Z44)</f>
        <v>0</v>
      </c>
    </row>
    <row r="45" spans="1:33" s="4" customFormat="1" x14ac:dyDescent="0.55000000000000004">
      <c r="A45" s="3" t="s">
        <v>11</v>
      </c>
      <c r="B45" s="3"/>
      <c r="C45" s="12"/>
      <c r="D45" s="3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6"/>
      <c r="Z45" s="26"/>
      <c r="AD45" s="31">
        <f t="shared" si="3"/>
        <v>0</v>
      </c>
    </row>
    <row r="46" spans="1:33" s="4" customFormat="1" x14ac:dyDescent="0.55000000000000004">
      <c r="A46" s="3" t="s">
        <v>12</v>
      </c>
      <c r="B46" s="3"/>
      <c r="C46" s="12"/>
      <c r="D46" s="3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6"/>
      <c r="Z46" s="26"/>
      <c r="AD46" s="31">
        <f t="shared" si="3"/>
        <v>0</v>
      </c>
    </row>
    <row r="47" spans="1:33" s="4" customFormat="1" x14ac:dyDescent="0.55000000000000004">
      <c r="A47" s="3" t="s">
        <v>13</v>
      </c>
      <c r="B47" s="3"/>
      <c r="C47" s="12"/>
      <c r="D47" s="3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6"/>
      <c r="Z47" s="26"/>
      <c r="AD47" s="31">
        <f t="shared" si="3"/>
        <v>0</v>
      </c>
    </row>
    <row r="48" spans="1:33" s="4" customFormat="1" x14ac:dyDescent="0.55000000000000004">
      <c r="A48" s="3" t="s">
        <v>14</v>
      </c>
      <c r="B48" s="3"/>
      <c r="C48" s="12"/>
      <c r="D48" s="3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17"/>
      <c r="Z48" s="17"/>
      <c r="AD48" s="31">
        <f t="shared" si="3"/>
        <v>0</v>
      </c>
    </row>
    <row r="49" spans="1:30" s="4" customFormat="1" x14ac:dyDescent="0.55000000000000004">
      <c r="A49" s="1" t="s">
        <v>21</v>
      </c>
      <c r="B49" s="1"/>
      <c r="C49" s="10">
        <v>45</v>
      </c>
      <c r="D49" s="1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22"/>
      <c r="X49" s="22"/>
      <c r="Y49" s="22"/>
      <c r="AD49"/>
    </row>
    <row r="50" spans="1:30" s="4" customFormat="1" x14ac:dyDescent="0.55000000000000004">
      <c r="A50" s="5"/>
      <c r="B50" s="5"/>
      <c r="C50" s="14"/>
      <c r="D50" s="5"/>
    </row>
    <row r="51" spans="1:30" s="4" customFormat="1" x14ac:dyDescent="0.55000000000000004">
      <c r="A51" s="5"/>
      <c r="B51" s="5"/>
      <c r="C51" s="8"/>
      <c r="D51" s="6"/>
    </row>
    <row r="52" spans="1:30" x14ac:dyDescent="0.55000000000000004">
      <c r="A52" s="2" t="s">
        <v>22</v>
      </c>
      <c r="B52" s="2"/>
    </row>
    <row r="53" spans="1:30" x14ac:dyDescent="0.55000000000000004">
      <c r="A53" s="1" t="s">
        <v>23</v>
      </c>
      <c r="B53" s="1"/>
    </row>
    <row r="54" spans="1:30" x14ac:dyDescent="0.55000000000000004">
      <c r="A54" s="1" t="s">
        <v>24</v>
      </c>
      <c r="B54" s="1"/>
      <c r="C54" s="8"/>
    </row>
    <row r="55" spans="1:30" x14ac:dyDescent="0.55000000000000004">
      <c r="A55" s="1" t="s">
        <v>25</v>
      </c>
      <c r="B55" s="1"/>
    </row>
    <row r="58" spans="1:30" x14ac:dyDescent="0.55000000000000004">
      <c r="A58" s="2" t="s">
        <v>26</v>
      </c>
      <c r="B58" s="2" t="s">
        <v>4</v>
      </c>
      <c r="C58" s="11" t="s">
        <v>5</v>
      </c>
      <c r="D58" s="11" t="s">
        <v>27</v>
      </c>
    </row>
    <row r="59" spans="1:30" x14ac:dyDescent="0.55000000000000004">
      <c r="A59" s="1" t="s">
        <v>28</v>
      </c>
      <c r="B59" s="1"/>
      <c r="C59" s="13">
        <f>+C13</f>
        <v>0</v>
      </c>
      <c r="D59" s="25">
        <f>SUM(AD7:AD12)</f>
        <v>0</v>
      </c>
    </row>
    <row r="60" spans="1:30" x14ac:dyDescent="0.55000000000000004">
      <c r="A60" s="1" t="s">
        <v>29</v>
      </c>
      <c r="B60" s="1"/>
      <c r="C60" s="10">
        <f>+C25</f>
        <v>0</v>
      </c>
      <c r="D60" s="25">
        <f>SUM(AD18:AD24)</f>
        <v>0</v>
      </c>
    </row>
    <row r="61" spans="1:30" x14ac:dyDescent="0.55000000000000004">
      <c r="A61" s="1" t="s">
        <v>30</v>
      </c>
      <c r="B61" s="1"/>
      <c r="C61" s="13">
        <f>+C37</f>
        <v>0</v>
      </c>
      <c r="D61" s="25">
        <f>SUM(AD31:AD36)</f>
        <v>0</v>
      </c>
    </row>
    <row r="62" spans="1:30" x14ac:dyDescent="0.55000000000000004">
      <c r="A62" s="1" t="s">
        <v>31</v>
      </c>
      <c r="B62" s="1"/>
      <c r="C62" s="10">
        <f>+C49</f>
        <v>45</v>
      </c>
      <c r="D62" s="25">
        <f>SUM(AD44:AD48)</f>
        <v>0</v>
      </c>
    </row>
    <row r="64" spans="1:30" x14ac:dyDescent="0.55000000000000004">
      <c r="B64" s="78" t="s">
        <v>32</v>
      </c>
      <c r="C64" s="79"/>
      <c r="D64" s="25">
        <f>SUM(D59:D62)</f>
        <v>0</v>
      </c>
    </row>
    <row r="66" spans="2:4" x14ac:dyDescent="0.55000000000000004">
      <c r="B66" s="78" t="s">
        <v>33</v>
      </c>
      <c r="C66" s="79"/>
      <c r="D66" s="25">
        <f>SUM(C2-D64)</f>
        <v>0</v>
      </c>
    </row>
  </sheetData>
  <mergeCells count="8">
    <mergeCell ref="A1:I1"/>
    <mergeCell ref="B66:C66"/>
    <mergeCell ref="E5:Z5"/>
    <mergeCell ref="AD5:AF5"/>
    <mergeCell ref="E17:Z17"/>
    <mergeCell ref="E29:Z29"/>
    <mergeCell ref="E41:Z41"/>
    <mergeCell ref="B64:C6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57"/>
  <sheetViews>
    <sheetView tabSelected="1" zoomScaleNormal="100" workbookViewId="0">
      <selection activeCell="E16" sqref="E16"/>
    </sheetView>
  </sheetViews>
  <sheetFormatPr defaultRowHeight="14.4" x14ac:dyDescent="0.55000000000000004"/>
  <cols>
    <col min="1" max="1" width="39.578125" customWidth="1"/>
    <col min="2" max="2" width="31.83984375" bestFit="1" customWidth="1"/>
    <col min="3" max="3" width="17.15625" style="9" customWidth="1"/>
    <col min="4" max="4" width="21.68359375" style="9" bestFit="1" customWidth="1"/>
    <col min="5" max="5" width="21.68359375" style="9" customWidth="1"/>
    <col min="6" max="25" width="3" bestFit="1" customWidth="1"/>
    <col min="26" max="26" width="3.26171875" bestFit="1" customWidth="1"/>
    <col min="27" max="27" width="3" bestFit="1" customWidth="1"/>
    <col min="28" max="28" width="3" customWidth="1"/>
    <col min="29" max="30" width="2.83984375" customWidth="1"/>
    <col min="31" max="31" width="4" bestFit="1" customWidth="1"/>
  </cols>
  <sheetData>
    <row r="1" spans="1:33" ht="45" customHeight="1" thickBot="1" x14ac:dyDescent="0.9">
      <c r="A1" s="71"/>
      <c r="B1" s="71"/>
      <c r="C1" s="71"/>
      <c r="D1" s="71"/>
      <c r="E1" s="72"/>
      <c r="F1" s="57" t="s">
        <v>34</v>
      </c>
      <c r="G1" s="71"/>
      <c r="H1" s="71"/>
      <c r="I1" s="71"/>
      <c r="J1" s="71"/>
    </row>
    <row r="2" spans="1:33" s="4" customFormat="1" ht="18" thickTop="1" x14ac:dyDescent="0.6">
      <c r="A2" s="5"/>
      <c r="B2" s="30" t="s">
        <v>0</v>
      </c>
      <c r="C2" s="38">
        <v>790</v>
      </c>
      <c r="D2" s="8"/>
      <c r="E2" s="8"/>
      <c r="F2" t="s">
        <v>35</v>
      </c>
    </row>
    <row r="3" spans="1:33" x14ac:dyDescent="0.55000000000000004"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33" x14ac:dyDescent="0.55000000000000004">
      <c r="A4" s="1" t="s">
        <v>36</v>
      </c>
      <c r="B4" s="1" t="s">
        <v>37</v>
      </c>
      <c r="C4" s="10"/>
      <c r="D4" s="10"/>
      <c r="E4" s="8"/>
    </row>
    <row r="5" spans="1:33" x14ac:dyDescent="0.55000000000000004">
      <c r="A5" s="2" t="s">
        <v>38</v>
      </c>
      <c r="B5" s="2" t="s">
        <v>4</v>
      </c>
      <c r="C5" s="11" t="s">
        <v>5</v>
      </c>
      <c r="D5" s="11" t="s">
        <v>6</v>
      </c>
      <c r="E5" s="59" t="s">
        <v>79</v>
      </c>
      <c r="F5" s="80" t="s">
        <v>7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2"/>
      <c r="AE5" s="83" t="s">
        <v>8</v>
      </c>
      <c r="AF5" s="83"/>
      <c r="AG5" s="83"/>
    </row>
    <row r="6" spans="1:33" x14ac:dyDescent="0.55000000000000004">
      <c r="A6" s="3"/>
      <c r="B6" s="3"/>
      <c r="C6" s="12"/>
      <c r="D6" s="58"/>
      <c r="E6" s="58"/>
      <c r="F6" s="46">
        <v>11</v>
      </c>
      <c r="G6" s="46">
        <v>12</v>
      </c>
      <c r="H6" s="46">
        <v>13</v>
      </c>
      <c r="I6" s="46">
        <v>14</v>
      </c>
      <c r="J6" s="46">
        <v>15</v>
      </c>
      <c r="K6" s="46">
        <v>16</v>
      </c>
      <c r="L6" s="46">
        <v>17</v>
      </c>
      <c r="M6" s="46">
        <v>18</v>
      </c>
      <c r="N6" s="46">
        <v>19</v>
      </c>
      <c r="O6" s="46">
        <v>20</v>
      </c>
      <c r="P6" s="46">
        <v>21</v>
      </c>
      <c r="Q6" s="46">
        <v>22</v>
      </c>
      <c r="R6" s="46">
        <v>23</v>
      </c>
      <c r="S6" s="46">
        <v>24</v>
      </c>
      <c r="T6" s="46">
        <v>25</v>
      </c>
      <c r="U6" s="46">
        <v>26</v>
      </c>
      <c r="V6" s="46">
        <v>27</v>
      </c>
      <c r="W6" s="46">
        <v>28</v>
      </c>
      <c r="X6" s="46">
        <v>29</v>
      </c>
      <c r="Y6" s="46">
        <v>30</v>
      </c>
      <c r="Z6" s="46">
        <v>31</v>
      </c>
      <c r="AA6" s="46">
        <v>32</v>
      </c>
    </row>
    <row r="7" spans="1:33" ht="12.75" customHeight="1" x14ac:dyDescent="0.55000000000000004">
      <c r="A7" s="3" t="s">
        <v>39</v>
      </c>
      <c r="B7" s="3" t="s">
        <v>40</v>
      </c>
      <c r="C7" s="12">
        <v>40</v>
      </c>
      <c r="D7" s="58">
        <v>8</v>
      </c>
      <c r="E7" s="58" t="s">
        <v>80</v>
      </c>
      <c r="F7" s="47">
        <v>16</v>
      </c>
      <c r="G7" s="47">
        <v>16</v>
      </c>
      <c r="H7" s="47">
        <v>16</v>
      </c>
      <c r="I7" s="47">
        <v>16</v>
      </c>
      <c r="J7" s="47">
        <v>16</v>
      </c>
      <c r="K7" s="47">
        <v>16</v>
      </c>
      <c r="L7" s="47">
        <v>16</v>
      </c>
      <c r="M7" s="47">
        <v>16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6"/>
      <c r="AA7" s="26"/>
      <c r="AE7" s="31">
        <f t="shared" ref="AE7:AE8" si="0">SUM(F7:AA7)</f>
        <v>128</v>
      </c>
    </row>
    <row r="8" spans="1:33" ht="12.75" customHeight="1" x14ac:dyDescent="0.55000000000000004">
      <c r="A8" s="3" t="s">
        <v>41</v>
      </c>
      <c r="B8" s="3" t="s">
        <v>42</v>
      </c>
      <c r="C8" s="12">
        <v>40</v>
      </c>
      <c r="D8" s="58">
        <v>8</v>
      </c>
      <c r="E8" s="58" t="s">
        <v>80</v>
      </c>
      <c r="F8" s="28"/>
      <c r="G8" s="28"/>
      <c r="H8" s="28"/>
      <c r="I8" s="28"/>
      <c r="J8" s="28"/>
      <c r="K8" s="28"/>
      <c r="L8" s="28"/>
      <c r="M8" s="28"/>
      <c r="N8" s="47">
        <v>16</v>
      </c>
      <c r="O8" s="47">
        <v>16</v>
      </c>
      <c r="P8" s="47">
        <v>16</v>
      </c>
      <c r="Q8" s="47">
        <v>16</v>
      </c>
      <c r="R8" s="47">
        <v>16</v>
      </c>
      <c r="S8" s="47">
        <v>16</v>
      </c>
      <c r="T8" s="47">
        <v>16</v>
      </c>
      <c r="U8" s="47">
        <v>16</v>
      </c>
      <c r="V8" s="32"/>
      <c r="W8" s="32"/>
      <c r="X8" s="32"/>
      <c r="Y8" s="32"/>
      <c r="Z8" s="17"/>
      <c r="AA8" s="17"/>
      <c r="AE8" s="31">
        <f t="shared" si="0"/>
        <v>128</v>
      </c>
    </row>
    <row r="9" spans="1:33" ht="12.75" customHeight="1" x14ac:dyDescent="0.55000000000000004">
      <c r="A9" s="3"/>
      <c r="B9" s="3"/>
      <c r="C9" s="12"/>
      <c r="D9" s="58"/>
      <c r="E9" s="58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17"/>
      <c r="AA9" s="17"/>
      <c r="AE9" s="4"/>
      <c r="AF9" s="43"/>
    </row>
    <row r="10" spans="1:33" ht="12.75" customHeight="1" x14ac:dyDescent="0.55000000000000004">
      <c r="A10" s="1" t="s">
        <v>15</v>
      </c>
      <c r="B10" s="1"/>
      <c r="C10" s="13">
        <f>SUM(C7:C8)</f>
        <v>80</v>
      </c>
      <c r="D10" s="10"/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AE10" s="4"/>
      <c r="AF10" s="20"/>
    </row>
    <row r="11" spans="1:33" ht="12.75" customHeight="1" x14ac:dyDescent="0.55000000000000004">
      <c r="A11" s="5"/>
      <c r="B11" s="5"/>
      <c r="C11" s="14"/>
      <c r="D11" s="8"/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AE11" s="4"/>
      <c r="AF11" s="19"/>
    </row>
    <row r="12" spans="1:33" ht="12.75" customHeight="1" x14ac:dyDescent="0.55000000000000004">
      <c r="F12" s="4"/>
      <c r="G12" s="4"/>
      <c r="H12" s="4"/>
      <c r="I12" s="2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AE12" s="4"/>
    </row>
    <row r="13" spans="1:33" x14ac:dyDescent="0.55000000000000004">
      <c r="A13" s="1"/>
      <c r="B13" s="1"/>
      <c r="C13" s="10"/>
      <c r="D13" s="10"/>
      <c r="E13" s="8"/>
      <c r="AE13" s="4"/>
    </row>
    <row r="14" spans="1:33" ht="12.75" customHeight="1" x14ac:dyDescent="0.55000000000000004">
      <c r="A14" s="2" t="s">
        <v>43</v>
      </c>
      <c r="B14" s="2" t="s">
        <v>4</v>
      </c>
      <c r="C14" s="11" t="s">
        <v>5</v>
      </c>
      <c r="D14" s="59" t="s">
        <v>6</v>
      </c>
      <c r="E14" s="59" t="s">
        <v>79</v>
      </c>
      <c r="F14" s="80" t="s">
        <v>7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2"/>
      <c r="AB14" s="7"/>
      <c r="AC14" s="7"/>
      <c r="AD14" s="23"/>
      <c r="AE14" s="23"/>
    </row>
    <row r="15" spans="1:33" ht="12.75" customHeight="1" x14ac:dyDescent="0.55000000000000004">
      <c r="A15" s="3"/>
      <c r="B15" s="3"/>
      <c r="C15" s="12"/>
      <c r="D15" s="58"/>
      <c r="E15" s="73"/>
      <c r="F15" s="16">
        <v>36</v>
      </c>
      <c r="G15" s="16">
        <v>37</v>
      </c>
      <c r="H15" s="16">
        <v>38</v>
      </c>
      <c r="I15" s="16">
        <v>39</v>
      </c>
      <c r="J15" s="16">
        <v>40</v>
      </c>
      <c r="K15" s="16">
        <v>41</v>
      </c>
      <c r="L15" s="16">
        <v>42</v>
      </c>
      <c r="M15" s="16">
        <v>43</v>
      </c>
      <c r="N15" s="16">
        <v>44</v>
      </c>
      <c r="O15" s="16">
        <v>45</v>
      </c>
      <c r="P15" s="16">
        <v>46</v>
      </c>
      <c r="Q15" s="16">
        <v>47</v>
      </c>
      <c r="R15" s="16">
        <v>48</v>
      </c>
      <c r="S15" s="16">
        <v>49</v>
      </c>
      <c r="T15" s="16">
        <v>50</v>
      </c>
      <c r="U15" s="16">
        <v>51</v>
      </c>
      <c r="V15" s="16">
        <v>52</v>
      </c>
      <c r="W15" s="16">
        <v>1</v>
      </c>
      <c r="X15" s="16">
        <v>2</v>
      </c>
      <c r="Y15" s="16">
        <v>3</v>
      </c>
      <c r="Z15" s="16">
        <v>4</v>
      </c>
      <c r="AA15" s="16">
        <v>5</v>
      </c>
      <c r="AB15" s="24"/>
      <c r="AC15" s="24"/>
      <c r="AD15" s="24"/>
    </row>
    <row r="16" spans="1:33" ht="12.75" customHeight="1" x14ac:dyDescent="0.55000000000000004">
      <c r="A16" s="3" t="s">
        <v>44</v>
      </c>
      <c r="B16" s="3" t="s">
        <v>45</v>
      </c>
      <c r="C16" s="12">
        <v>20</v>
      </c>
      <c r="D16" s="58">
        <v>4</v>
      </c>
      <c r="E16" s="58"/>
      <c r="F16" s="47">
        <v>16</v>
      </c>
      <c r="G16" s="47">
        <v>16</v>
      </c>
      <c r="H16" s="47">
        <v>16</v>
      </c>
      <c r="I16" s="47">
        <v>16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4"/>
      <c r="AC16" s="24"/>
      <c r="AD16" s="24"/>
      <c r="AE16" s="31">
        <f t="shared" ref="AE16:AE19" si="1">SUM(F16:AA16)</f>
        <v>64</v>
      </c>
    </row>
    <row r="17" spans="1:31" ht="12.75" customHeight="1" x14ac:dyDescent="0.55000000000000004">
      <c r="A17" s="3" t="s">
        <v>46</v>
      </c>
      <c r="B17" s="3" t="s">
        <v>47</v>
      </c>
      <c r="C17" s="70">
        <v>20</v>
      </c>
      <c r="D17" s="70">
        <v>4</v>
      </c>
      <c r="E17" s="70"/>
      <c r="F17" s="28"/>
      <c r="G17" s="28"/>
      <c r="H17" s="28"/>
      <c r="I17" s="28"/>
      <c r="J17" s="47">
        <v>16</v>
      </c>
      <c r="K17" s="47">
        <v>16</v>
      </c>
      <c r="L17" s="47">
        <v>16</v>
      </c>
      <c r="M17" s="47">
        <v>16</v>
      </c>
      <c r="N17" s="28"/>
      <c r="O17" s="29"/>
      <c r="P17" s="29"/>
      <c r="Q17" s="33"/>
      <c r="R17" s="28"/>
      <c r="S17" s="28"/>
      <c r="T17" s="28"/>
      <c r="U17" s="28"/>
      <c r="V17" s="28"/>
      <c r="W17" s="28"/>
      <c r="X17" s="28"/>
      <c r="Y17" s="28"/>
      <c r="Z17" s="26"/>
      <c r="AA17" s="26"/>
      <c r="AB17" s="23"/>
      <c r="AC17" s="23"/>
      <c r="AE17" s="31">
        <f t="shared" si="1"/>
        <v>64</v>
      </c>
    </row>
    <row r="18" spans="1:31" ht="12.75" customHeight="1" x14ac:dyDescent="0.55000000000000004">
      <c r="A18" s="3" t="s">
        <v>48</v>
      </c>
      <c r="B18" s="3" t="s">
        <v>49</v>
      </c>
      <c r="C18" s="12">
        <v>30</v>
      </c>
      <c r="D18" s="58">
        <v>6</v>
      </c>
      <c r="E18" s="58"/>
      <c r="F18" s="28"/>
      <c r="G18" s="28"/>
      <c r="H18" s="28"/>
      <c r="I18" s="28"/>
      <c r="J18" s="28"/>
      <c r="K18" s="28"/>
      <c r="L18" s="28"/>
      <c r="M18" s="28"/>
      <c r="N18" s="47">
        <v>16</v>
      </c>
      <c r="O18" s="47">
        <v>16</v>
      </c>
      <c r="P18" s="47">
        <v>16</v>
      </c>
      <c r="Q18" s="47">
        <v>16</v>
      </c>
      <c r="R18" s="47">
        <v>16</v>
      </c>
      <c r="S18" s="47">
        <v>16</v>
      </c>
      <c r="T18" s="28"/>
      <c r="U18" s="28"/>
      <c r="V18" s="28"/>
      <c r="W18" s="28"/>
      <c r="X18" s="28"/>
      <c r="Y18" s="28"/>
      <c r="Z18" s="26"/>
      <c r="AA18" s="26"/>
      <c r="AB18" s="23"/>
      <c r="AC18" s="23"/>
      <c r="AE18" s="31">
        <f t="shared" si="1"/>
        <v>96</v>
      </c>
    </row>
    <row r="19" spans="1:31" ht="12.75" customHeight="1" x14ac:dyDescent="0.55000000000000004">
      <c r="A19" s="3" t="s">
        <v>50</v>
      </c>
      <c r="B19" s="3" t="s">
        <v>51</v>
      </c>
      <c r="C19" s="12">
        <v>30</v>
      </c>
      <c r="D19" s="58">
        <v>6</v>
      </c>
      <c r="E19" s="58"/>
      <c r="F19" s="28"/>
      <c r="G19" s="28"/>
      <c r="H19" s="28"/>
      <c r="I19" s="28"/>
      <c r="J19" s="28"/>
      <c r="K19" s="28"/>
      <c r="L19" s="28"/>
      <c r="M19" s="28"/>
      <c r="N19" s="28"/>
      <c r="O19" s="29"/>
      <c r="P19" s="29"/>
      <c r="Q19" s="33"/>
      <c r="R19" s="33"/>
      <c r="S19" s="33"/>
      <c r="T19" s="47">
        <v>16</v>
      </c>
      <c r="U19" s="47">
        <v>16</v>
      </c>
      <c r="V19" s="47">
        <v>16</v>
      </c>
      <c r="W19" s="47">
        <v>16</v>
      </c>
      <c r="X19" s="47">
        <v>16</v>
      </c>
      <c r="Y19" s="47">
        <v>16</v>
      </c>
      <c r="Z19" s="26"/>
      <c r="AA19" s="26"/>
      <c r="AB19" s="23"/>
      <c r="AC19" s="23"/>
      <c r="AE19" s="31">
        <f t="shared" si="1"/>
        <v>96</v>
      </c>
    </row>
    <row r="20" spans="1:31" ht="12.75" customHeight="1" x14ac:dyDescent="0.55000000000000004">
      <c r="AB20" s="23"/>
      <c r="AC20" s="23"/>
      <c r="AE20" s="4"/>
    </row>
    <row r="21" spans="1:31" x14ac:dyDescent="0.55000000000000004">
      <c r="A21" s="1" t="s">
        <v>17</v>
      </c>
      <c r="B21" s="1"/>
      <c r="C21" s="13">
        <f>SUM(C16:C19)</f>
        <v>100</v>
      </c>
      <c r="D21" s="60"/>
      <c r="E21" s="74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2"/>
      <c r="AA21" s="42"/>
      <c r="AB21" s="23"/>
      <c r="AC21" s="23"/>
      <c r="AD21" s="23"/>
      <c r="AE21" s="4"/>
    </row>
    <row r="22" spans="1:31" s="4" customFormat="1" x14ac:dyDescent="0.55000000000000004">
      <c r="A22" s="5"/>
      <c r="B22" s="5"/>
      <c r="C22" s="14"/>
      <c r="D22" s="8"/>
      <c r="E22" s="8"/>
    </row>
    <row r="23" spans="1:31" s="4" customFormat="1" x14ac:dyDescent="0.55000000000000004">
      <c r="A23" s="5"/>
      <c r="B23" s="5"/>
      <c r="C23" s="14"/>
      <c r="D23" s="8"/>
      <c r="E23" s="8"/>
    </row>
    <row r="24" spans="1:31" s="4" customFormat="1" x14ac:dyDescent="0.55000000000000004">
      <c r="A24" s="1"/>
      <c r="B24" s="1"/>
      <c r="C24" s="10"/>
      <c r="D24" s="10"/>
      <c r="E24" s="8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31" s="4" customFormat="1" x14ac:dyDescent="0.55000000000000004">
      <c r="A25" s="2" t="s">
        <v>52</v>
      </c>
      <c r="B25" s="2" t="s">
        <v>4</v>
      </c>
      <c r="C25" s="11" t="s">
        <v>5</v>
      </c>
      <c r="D25" s="11" t="s">
        <v>6</v>
      </c>
      <c r="E25" s="59" t="s">
        <v>79</v>
      </c>
      <c r="F25" s="80" t="s">
        <v>7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2"/>
    </row>
    <row r="26" spans="1:31" s="4" customFormat="1" x14ac:dyDescent="0.55000000000000004">
      <c r="A26" s="3"/>
      <c r="B26" s="3"/>
      <c r="C26" s="12"/>
      <c r="D26" s="58"/>
      <c r="E26" s="58"/>
      <c r="F26" s="46">
        <v>4</v>
      </c>
      <c r="G26" s="46">
        <v>5</v>
      </c>
      <c r="H26" s="46">
        <v>6</v>
      </c>
      <c r="I26" s="46">
        <v>7</v>
      </c>
      <c r="J26" s="46">
        <v>8</v>
      </c>
      <c r="K26" s="46">
        <v>9</v>
      </c>
      <c r="L26" s="46">
        <v>10</v>
      </c>
      <c r="M26" s="46">
        <v>11</v>
      </c>
      <c r="N26" s="46">
        <v>12</v>
      </c>
      <c r="O26" s="46">
        <v>13</v>
      </c>
      <c r="P26" s="46">
        <v>14</v>
      </c>
      <c r="Q26" s="46">
        <v>15</v>
      </c>
      <c r="R26" s="46">
        <v>16</v>
      </c>
      <c r="S26" s="46">
        <v>17</v>
      </c>
      <c r="T26" s="46">
        <v>18</v>
      </c>
      <c r="U26" s="46">
        <v>19</v>
      </c>
      <c r="V26" s="46">
        <v>20</v>
      </c>
      <c r="W26" s="46">
        <v>21</v>
      </c>
      <c r="X26" s="46">
        <v>22</v>
      </c>
      <c r="Y26" s="46">
        <v>23</v>
      </c>
      <c r="Z26" s="46">
        <v>24</v>
      </c>
      <c r="AA26" s="46">
        <v>25</v>
      </c>
    </row>
    <row r="27" spans="1:31" s="4" customFormat="1" x14ac:dyDescent="0.55000000000000004">
      <c r="A27" s="3" t="s">
        <v>53</v>
      </c>
      <c r="B27" s="3" t="s">
        <v>54</v>
      </c>
      <c r="C27" s="12">
        <v>60</v>
      </c>
      <c r="D27" s="58">
        <v>12</v>
      </c>
      <c r="E27" s="58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28"/>
      <c r="S27" s="28"/>
      <c r="T27" s="28"/>
      <c r="U27" s="28"/>
      <c r="V27" s="28"/>
      <c r="W27" s="28"/>
      <c r="X27" s="40"/>
      <c r="Y27" s="40"/>
      <c r="Z27" s="40"/>
      <c r="AA27" s="40"/>
      <c r="AE27" s="31">
        <f t="shared" ref="AE27:AE29" si="2">SUM(F27:AA27)</f>
        <v>0</v>
      </c>
    </row>
    <row r="28" spans="1:31" s="4" customFormat="1" x14ac:dyDescent="0.55000000000000004">
      <c r="A28" s="3" t="s">
        <v>55</v>
      </c>
      <c r="B28" s="3" t="s">
        <v>56</v>
      </c>
      <c r="C28" s="12">
        <v>30</v>
      </c>
      <c r="D28" s="58">
        <v>6</v>
      </c>
      <c r="E28" s="5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47">
        <v>10</v>
      </c>
      <c r="S28" s="47">
        <v>10</v>
      </c>
      <c r="T28" s="47">
        <v>9</v>
      </c>
      <c r="U28" s="47">
        <v>10</v>
      </c>
      <c r="V28" s="47">
        <v>9</v>
      </c>
      <c r="W28" s="47">
        <v>10</v>
      </c>
      <c r="X28" s="47">
        <v>9</v>
      </c>
      <c r="Y28" s="47">
        <v>10</v>
      </c>
      <c r="Z28" s="47">
        <v>9</v>
      </c>
      <c r="AA28" s="47">
        <v>10</v>
      </c>
      <c r="AE28" s="31">
        <f t="shared" si="2"/>
        <v>96</v>
      </c>
    </row>
    <row r="29" spans="1:31" s="4" customFormat="1" x14ac:dyDescent="0.55000000000000004">
      <c r="A29" s="3" t="s">
        <v>57</v>
      </c>
      <c r="B29" s="3" t="s">
        <v>56</v>
      </c>
      <c r="C29" s="12">
        <v>20</v>
      </c>
      <c r="D29" s="58">
        <v>4</v>
      </c>
      <c r="E29" s="5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47">
        <v>6</v>
      </c>
      <c r="S29" s="47">
        <v>6</v>
      </c>
      <c r="T29" s="47">
        <v>7</v>
      </c>
      <c r="U29" s="47">
        <v>6</v>
      </c>
      <c r="V29" s="47">
        <v>7</v>
      </c>
      <c r="W29" s="47">
        <v>6</v>
      </c>
      <c r="X29" s="47">
        <v>7</v>
      </c>
      <c r="Y29" s="47">
        <v>6</v>
      </c>
      <c r="Z29" s="47">
        <v>7</v>
      </c>
      <c r="AA29" s="47">
        <v>6</v>
      </c>
      <c r="AE29" s="31">
        <f t="shared" si="2"/>
        <v>64</v>
      </c>
    </row>
    <row r="30" spans="1:31" s="4" customFormat="1" x14ac:dyDescent="0.55000000000000004">
      <c r="A30" s="3"/>
      <c r="B30" s="3"/>
      <c r="C30" s="12"/>
      <c r="D30" s="58"/>
      <c r="E30" s="5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40"/>
      <c r="AA30" s="40"/>
    </row>
    <row r="31" spans="1:31" s="4" customFormat="1" x14ac:dyDescent="0.55000000000000004">
      <c r="A31" s="1" t="s">
        <v>19</v>
      </c>
      <c r="B31" s="1"/>
      <c r="C31" s="13">
        <f>SUM(C27:C29)</f>
        <v>110</v>
      </c>
      <c r="D31" s="10"/>
      <c r="E31" s="8"/>
      <c r="Z31" s="42"/>
      <c r="AA31" s="42"/>
    </row>
    <row r="32" spans="1:31" s="4" customFormat="1" x14ac:dyDescent="0.55000000000000004">
      <c r="A32" s="5"/>
      <c r="B32" s="5"/>
      <c r="C32" s="14"/>
      <c r="D32" s="8"/>
      <c r="E32" s="8"/>
    </row>
    <row r="33" spans="1:31" s="4" customFormat="1" x14ac:dyDescent="0.55000000000000004">
      <c r="A33" s="5"/>
      <c r="B33" s="5"/>
      <c r="C33" s="14"/>
      <c r="D33" s="8"/>
      <c r="E33" s="8"/>
    </row>
    <row r="34" spans="1:31" s="4" customFormat="1" x14ac:dyDescent="0.55000000000000004">
      <c r="A34" s="1"/>
      <c r="B34" s="1"/>
      <c r="C34" s="10"/>
      <c r="D34" s="10"/>
      <c r="E34" s="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31" s="4" customFormat="1" x14ac:dyDescent="0.55000000000000004">
      <c r="A35" s="2" t="s">
        <v>58</v>
      </c>
      <c r="B35" s="2" t="s">
        <v>4</v>
      </c>
      <c r="C35" s="11" t="s">
        <v>5</v>
      </c>
      <c r="D35" s="11" t="s">
        <v>6</v>
      </c>
      <c r="E35" s="59" t="s">
        <v>79</v>
      </c>
      <c r="F35" s="80" t="s">
        <v>7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2"/>
    </row>
    <row r="36" spans="1:31" s="4" customFormat="1" x14ac:dyDescent="0.55000000000000004">
      <c r="A36" s="3"/>
      <c r="B36" s="3"/>
      <c r="C36" s="12"/>
      <c r="D36" s="58"/>
      <c r="E36" s="58"/>
      <c r="F36" s="65">
        <v>37</v>
      </c>
      <c r="G36" s="65">
        <v>38</v>
      </c>
      <c r="H36" s="65">
        <v>39</v>
      </c>
      <c r="I36" s="65">
        <v>40</v>
      </c>
      <c r="J36" s="65">
        <v>41</v>
      </c>
      <c r="K36" s="65">
        <v>42</v>
      </c>
      <c r="L36" s="65">
        <v>43</v>
      </c>
      <c r="M36" s="65">
        <v>44</v>
      </c>
      <c r="N36" s="65">
        <v>45</v>
      </c>
      <c r="O36" s="65">
        <v>46</v>
      </c>
      <c r="P36" s="65">
        <v>47</v>
      </c>
      <c r="Q36" s="65">
        <v>48</v>
      </c>
      <c r="R36" s="65">
        <v>49</v>
      </c>
      <c r="S36" s="65">
        <v>50</v>
      </c>
      <c r="T36" s="65">
        <v>51</v>
      </c>
      <c r="U36" s="65">
        <v>52</v>
      </c>
      <c r="V36" s="65">
        <v>1</v>
      </c>
      <c r="W36" s="65">
        <v>2</v>
      </c>
      <c r="X36" s="65">
        <v>3</v>
      </c>
      <c r="Y36" s="65">
        <v>4</v>
      </c>
      <c r="Z36" s="65">
        <v>5</v>
      </c>
      <c r="AA36" s="65">
        <v>6</v>
      </c>
    </row>
    <row r="37" spans="1:31" s="4" customFormat="1" x14ac:dyDescent="0.55000000000000004">
      <c r="A37" s="3" t="s">
        <v>59</v>
      </c>
      <c r="B37" s="3" t="s">
        <v>60</v>
      </c>
      <c r="C37" s="12">
        <v>40</v>
      </c>
      <c r="D37" s="58">
        <v>8</v>
      </c>
      <c r="E37" s="58"/>
      <c r="F37" s="47">
        <v>3</v>
      </c>
      <c r="G37" s="47">
        <v>8</v>
      </c>
      <c r="H37" s="47">
        <v>8</v>
      </c>
      <c r="I37" s="47">
        <v>8</v>
      </c>
      <c r="J37" s="47">
        <v>6</v>
      </c>
      <c r="K37" s="47">
        <v>6</v>
      </c>
      <c r="L37" s="47">
        <v>8</v>
      </c>
      <c r="M37" s="47">
        <v>8</v>
      </c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6"/>
      <c r="AA37" s="26"/>
      <c r="AE37" s="31">
        <f>SUM(G37:AA37)</f>
        <v>52</v>
      </c>
    </row>
    <row r="38" spans="1:31" s="4" customFormat="1" x14ac:dyDescent="0.55000000000000004">
      <c r="A38" s="3" t="s">
        <v>61</v>
      </c>
      <c r="B38" s="3" t="s">
        <v>62</v>
      </c>
      <c r="C38" s="12">
        <v>70</v>
      </c>
      <c r="D38" s="58">
        <v>14</v>
      </c>
      <c r="E38" s="58"/>
      <c r="F38" s="28"/>
      <c r="G38" s="28"/>
      <c r="H38" s="28"/>
      <c r="I38" s="28"/>
      <c r="J38" s="28"/>
      <c r="K38" s="28"/>
      <c r="L38" s="28"/>
      <c r="M38" s="28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  <c r="AA38" s="48"/>
      <c r="AE38" s="31">
        <f>SUM(G38:AA38)</f>
        <v>0</v>
      </c>
    </row>
    <row r="39" spans="1:31" s="4" customFormat="1" x14ac:dyDescent="0.55000000000000004">
      <c r="A39" s="3"/>
      <c r="B39" s="3"/>
      <c r="C39" s="12"/>
      <c r="D39" s="58"/>
      <c r="E39" s="5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6"/>
      <c r="Z39" s="26"/>
      <c r="AA39" s="26"/>
      <c r="AE39"/>
    </row>
    <row r="40" spans="1:31" s="4" customFormat="1" x14ac:dyDescent="0.55000000000000004">
      <c r="A40" s="1" t="s">
        <v>21</v>
      </c>
      <c r="B40" s="1"/>
      <c r="C40" s="13">
        <f>SUM(C37:C38)</f>
        <v>110</v>
      </c>
      <c r="D40" s="10"/>
      <c r="E40" s="8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22"/>
      <c r="Y40" s="22"/>
      <c r="Z40" s="22"/>
      <c r="AE40"/>
    </row>
    <row r="41" spans="1:31" s="4" customFormat="1" x14ac:dyDescent="0.55000000000000004">
      <c r="A41" s="5"/>
      <c r="B41" s="5"/>
      <c r="C41" s="14"/>
      <c r="D41" s="8"/>
      <c r="E41" s="8"/>
    </row>
    <row r="42" spans="1:31" s="4" customFormat="1" x14ac:dyDescent="0.55000000000000004">
      <c r="A42" s="5"/>
      <c r="B42" s="5"/>
      <c r="C42" s="8"/>
      <c r="D42" s="14"/>
      <c r="E42" s="14"/>
    </row>
    <row r="43" spans="1:31" x14ac:dyDescent="0.55000000000000004">
      <c r="A43" s="15" t="s">
        <v>22</v>
      </c>
      <c r="B43" s="15" t="s">
        <v>63</v>
      </c>
      <c r="C43" s="56" t="s">
        <v>64</v>
      </c>
      <c r="D43" s="61"/>
      <c r="E43" s="61"/>
      <c r="F43" s="54"/>
      <c r="G43" s="54"/>
      <c r="H43" s="54"/>
      <c r="I43" s="55"/>
    </row>
    <row r="44" spans="1:31" x14ac:dyDescent="0.55000000000000004">
      <c r="A44" s="35" t="s">
        <v>65</v>
      </c>
      <c r="B44" s="35" t="s">
        <v>66</v>
      </c>
      <c r="C44" s="35" t="s">
        <v>67</v>
      </c>
      <c r="D44" s="62"/>
      <c r="E44" s="62"/>
      <c r="F44" s="52"/>
      <c r="G44" s="52"/>
      <c r="H44" s="52"/>
      <c r="I44" s="53"/>
    </row>
    <row r="45" spans="1:31" x14ac:dyDescent="0.55000000000000004">
      <c r="A45" s="50" t="s">
        <v>68</v>
      </c>
      <c r="B45" s="50" t="s">
        <v>69</v>
      </c>
      <c r="C45" s="4" t="s">
        <v>70</v>
      </c>
      <c r="D45" s="63"/>
      <c r="E45" s="63"/>
      <c r="F45" s="52"/>
      <c r="G45" s="52"/>
      <c r="H45" s="52"/>
      <c r="I45" s="53"/>
    </row>
    <row r="46" spans="1:31" x14ac:dyDescent="0.55000000000000004">
      <c r="A46" s="50" t="s">
        <v>71</v>
      </c>
      <c r="B46" s="51" t="s">
        <v>72</v>
      </c>
      <c r="C46" s="50"/>
      <c r="D46" s="63"/>
      <c r="E46" s="63"/>
      <c r="F46" s="52"/>
      <c r="G46" s="52"/>
      <c r="H46" s="52"/>
      <c r="I46" s="53"/>
    </row>
    <row r="49" spans="1:21" x14ac:dyDescent="0.55000000000000004">
      <c r="A49" s="2" t="s">
        <v>26</v>
      </c>
      <c r="B49" s="2" t="s">
        <v>4</v>
      </c>
      <c r="C49" s="11" t="s">
        <v>5</v>
      </c>
      <c r="D49" s="11" t="s">
        <v>27</v>
      </c>
      <c r="E49" s="75"/>
    </row>
    <row r="50" spans="1:21" x14ac:dyDescent="0.55000000000000004">
      <c r="A50" s="1" t="s">
        <v>28</v>
      </c>
      <c r="B50" s="1" t="s">
        <v>73</v>
      </c>
      <c r="C50" s="13">
        <f>C10</f>
        <v>80</v>
      </c>
      <c r="D50" s="64">
        <f>SUM(AE7:AE9)</f>
        <v>256</v>
      </c>
      <c r="E50" s="72"/>
    </row>
    <row r="51" spans="1:21" x14ac:dyDescent="0.55000000000000004">
      <c r="A51" s="1" t="s">
        <v>29</v>
      </c>
      <c r="B51" s="1" t="s">
        <v>74</v>
      </c>
      <c r="C51" s="13">
        <f>C21</f>
        <v>100</v>
      </c>
      <c r="D51" s="64">
        <f>SUM(AE16:AE19)</f>
        <v>320</v>
      </c>
      <c r="E51" s="72"/>
      <c r="F51" s="68" t="s">
        <v>75</v>
      </c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</row>
    <row r="52" spans="1:21" s="66" customFormat="1" x14ac:dyDescent="0.55000000000000004">
      <c r="A52" s="1" t="s">
        <v>30</v>
      </c>
      <c r="B52" s="1" t="s">
        <v>74</v>
      </c>
      <c r="C52" s="13">
        <f>+C31</f>
        <v>110</v>
      </c>
      <c r="D52" s="67">
        <f>SUM(AE27:AE30)</f>
        <v>160</v>
      </c>
      <c r="E52" s="76"/>
    </row>
    <row r="53" spans="1:21" x14ac:dyDescent="0.55000000000000004">
      <c r="A53" s="1" t="s">
        <v>31</v>
      </c>
      <c r="B53" s="1" t="s">
        <v>76</v>
      </c>
      <c r="C53" s="10">
        <f>+C40</f>
        <v>110</v>
      </c>
      <c r="D53" s="64">
        <f>SUM(AE37:AE39)</f>
        <v>52</v>
      </c>
      <c r="E53" s="72"/>
    </row>
    <row r="54" spans="1:21" x14ac:dyDescent="0.55000000000000004">
      <c r="C54" s="49">
        <f>SUM(C50:C53)</f>
        <v>400</v>
      </c>
    </row>
    <row r="55" spans="1:21" x14ac:dyDescent="0.55000000000000004">
      <c r="B55" s="78" t="s">
        <v>77</v>
      </c>
      <c r="C55" s="79"/>
      <c r="D55" s="64">
        <f>SUM(D50:D53)</f>
        <v>788</v>
      </c>
      <c r="E55" s="72"/>
    </row>
    <row r="57" spans="1:21" x14ac:dyDescent="0.55000000000000004">
      <c r="B57" s="78" t="s">
        <v>78</v>
      </c>
      <c r="C57" s="79"/>
      <c r="D57" s="64">
        <f>SUM(C2-D55)</f>
        <v>2</v>
      </c>
      <c r="E57" s="72"/>
    </row>
  </sheetData>
  <mergeCells count="7">
    <mergeCell ref="B57:C57"/>
    <mergeCell ref="AE5:AG5"/>
    <mergeCell ref="F5:AA5"/>
    <mergeCell ref="F14:AA14"/>
    <mergeCell ref="F25:AA25"/>
    <mergeCell ref="F35:AA35"/>
    <mergeCell ref="B55:C55"/>
  </mergeCells>
  <phoneticPr fontId="11" type="noConversion"/>
  <pageMargins left="0.70866141732283472" right="0.70866141732283472" top="0.46" bottom="0.74803149606299213" header="0.31496062992125984" footer="0.31496062992125984"/>
  <pageSetup paperSize="9" scale="57" orientation="landscape" r:id="rId1"/>
  <headerFooter>
    <oddFooter>&amp;L&amp;D&amp;CBL087_HYH / Utgåva 5&amp;RSida &amp;P av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E4A0FD00F6C14D96BE0A56AFAC729E" ma:contentTypeVersion="4" ma:contentTypeDescription="Skapa ett nytt dokument." ma:contentTypeScope="" ma:versionID="f6bbb1e762a5260f26c38448c1df4f4e">
  <xsd:schema xmlns:xsd="http://www.w3.org/2001/XMLSchema" xmlns:xs="http://www.w3.org/2001/XMLSchema" xmlns:p="http://schemas.microsoft.com/office/2006/metadata/properties" xmlns:ns2="44e816c3-1da0-42a8-89bf-7a75fe49264c" xmlns:ns3="0a27b7f0-fce9-4c38-8f38-ecd371a680b5" targetNamespace="http://schemas.microsoft.com/office/2006/metadata/properties" ma:root="true" ma:fieldsID="044d0272007fb6be350026b80a0ed18f" ns2:_="" ns3:_="">
    <xsd:import namespace="44e816c3-1da0-42a8-89bf-7a75fe49264c"/>
    <xsd:import namespace="0a27b7f0-fce9-4c38-8f38-ecd371a680b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816c3-1da0-42a8-89bf-7a75fe4926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7b7f0-fce9-4c38-8f38-ecd371a68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830BE2-9EDE-4728-9E6D-726C754B2E97}"/>
</file>

<file path=customXml/itemProps2.xml><?xml version="1.0" encoding="utf-8"?>
<ds:datastoreItem xmlns:ds="http://schemas.openxmlformats.org/officeDocument/2006/customXml" ds:itemID="{8D1AF0EE-B7A6-4FB3-BAB5-84ED12BC48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FA5AF34-2382-490A-82EC-B64BA40E52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Instruktion</vt:lpstr>
      <vt:lpstr>Utbildningsöversikt</vt:lpstr>
    </vt:vector>
  </TitlesOfParts>
  <Manager/>
  <Company>Hermods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 Möller</dc:creator>
  <cp:keywords/>
  <dc:description/>
  <cp:lastModifiedBy>Stefan Gustavsson</cp:lastModifiedBy>
  <cp:revision/>
  <cp:lastPrinted>2021-03-01T15:14:36Z</cp:lastPrinted>
  <dcterms:created xsi:type="dcterms:W3CDTF">2013-11-06T10:20:14Z</dcterms:created>
  <dcterms:modified xsi:type="dcterms:W3CDTF">2021-03-01T16:23:27Z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0x01010056E4A0FD00F6C14D96BE0A56AFAC729E</vt:lpwstr>
  </property>
</Properties>
</file>